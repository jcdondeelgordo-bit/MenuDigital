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" sheetId="1" r:id="rId5"/>
    <sheet state="visible" name="Gastos_JC" sheetId="2" r:id="rId6"/>
    <sheet state="visible" name="Inventario" sheetId="3" r:id="rId7"/>
    <sheet state="visible" name="Ingresos" sheetId="4" r:id="rId8"/>
    <sheet state="visible" name="Log_Envios" sheetId="5" r:id="rId9"/>
    <sheet state="visible" name="Reporte" sheetId="6" r:id="rId10"/>
    <sheet state="visible" name="Ventas" sheetId="7" r:id="rId11"/>
    <sheet state="visible" name="Recetas" sheetId="8" r:id="rId12"/>
    <sheet state="visible" name="Insumos" sheetId="9" r:id="rId13"/>
    <sheet state="visible" name="Productos" sheetId="10" r:id="rId14"/>
    <sheet state="visible" name="Inventario_Insumos" sheetId="11" r:id="rId15"/>
  </sheets>
  <definedNames/>
  <calcPr/>
</workbook>
</file>

<file path=xl/sharedStrings.xml><?xml version="1.0" encoding="utf-8"?>
<sst xmlns="http://schemas.openxmlformats.org/spreadsheetml/2006/main" count="2079" uniqueCount="302">
  <si>
    <t>Fecha</t>
  </si>
  <si>
    <t>AREA 1</t>
  </si>
  <si>
    <t>Producto</t>
  </si>
  <si>
    <t>Turno</t>
  </si>
  <si>
    <t>Cantidad</t>
  </si>
  <si>
    <t>Autorizado_Por</t>
  </si>
  <si>
    <t>Área</t>
  </si>
  <si>
    <t>Motivo</t>
  </si>
  <si>
    <t>ARERA 2</t>
  </si>
  <si>
    <t>AREA 3</t>
  </si>
  <si>
    <t>Total</t>
  </si>
  <si>
    <t>AREA 4</t>
  </si>
  <si>
    <t>PRODUCTOS</t>
  </si>
  <si>
    <t>PRESENTACION</t>
  </si>
  <si>
    <t>CIERRE</t>
  </si>
  <si>
    <t>GRAMAJE</t>
  </si>
  <si>
    <t>COCINA</t>
  </si>
  <si>
    <t>UNIDADES</t>
  </si>
  <si>
    <t>DESMECHADA</t>
  </si>
  <si>
    <t>PIZZA</t>
  </si>
  <si>
    <t>Area</t>
  </si>
  <si>
    <t>PARRILLA</t>
  </si>
  <si>
    <t>JAMON</t>
  </si>
  <si>
    <t>gm</t>
  </si>
  <si>
    <t>QUESO PIZZA</t>
  </si>
  <si>
    <t>PAQUETE</t>
  </si>
  <si>
    <t>500 GM</t>
  </si>
  <si>
    <t>SALCHICHA IDEAL</t>
  </si>
  <si>
    <t>CHAMPIÑONES</t>
  </si>
  <si>
    <t>SALCHICHA RANCHERA</t>
  </si>
  <si>
    <t>BLOQUE</t>
  </si>
  <si>
    <t>2500 GM</t>
  </si>
  <si>
    <t>PAN HAMBURGUESA</t>
  </si>
  <si>
    <t>POLLO PIZZA</t>
  </si>
  <si>
    <t>und</t>
  </si>
  <si>
    <t>250 GM</t>
  </si>
  <si>
    <t>PAN PERRO</t>
  </si>
  <si>
    <t>CARNE PIZZA</t>
  </si>
  <si>
    <t>SALCHICHA AMERICANA</t>
  </si>
  <si>
    <t>MAZORCA</t>
  </si>
  <si>
    <t>610 GM</t>
  </si>
  <si>
    <t>PAPA FRANCESA</t>
  </si>
  <si>
    <t>COSTILLITAS</t>
  </si>
  <si>
    <t>SALCHICHON</t>
  </si>
  <si>
    <t>GASEOSA 350</t>
  </si>
  <si>
    <t>AGUA SIN GAS</t>
  </si>
  <si>
    <t>CARNE HAMBURGUESA</t>
  </si>
  <si>
    <t>PICADAS</t>
  </si>
  <si>
    <t>CHISS TREES</t>
  </si>
  <si>
    <t>MALTA 1.5</t>
  </si>
  <si>
    <t>POLLO HAMBURGUESA</t>
  </si>
  <si>
    <t>QUESO TAJADO</t>
  </si>
  <si>
    <t>KILO</t>
  </si>
  <si>
    <t>1000 GM</t>
  </si>
  <si>
    <t>460 GM</t>
  </si>
  <si>
    <t>SALCHICHA SUIZA</t>
  </si>
  <si>
    <t>BARRA</t>
  </si>
  <si>
    <t>1200 GM</t>
  </si>
  <si>
    <t>10 UNIDADES</t>
  </si>
  <si>
    <t>CHORIZOS</t>
  </si>
  <si>
    <t>UNIDAD</t>
  </si>
  <si>
    <t>CAJA</t>
  </si>
  <si>
    <t>CHURRASCOS</t>
  </si>
  <si>
    <t>24 UNIDADES</t>
  </si>
  <si>
    <t>PECHUGA</t>
  </si>
  <si>
    <t>6 UNIDADES</t>
  </si>
  <si>
    <t>NEVERA</t>
  </si>
  <si>
    <t>FechaHora</t>
  </si>
  <si>
    <t>18 UNIDADES</t>
  </si>
  <si>
    <t>JUGO HIT 500</t>
  </si>
  <si>
    <t>Filas</t>
  </si>
  <si>
    <t>Estado</t>
  </si>
  <si>
    <t>env_1783381314915_w3lgh8</t>
  </si>
  <si>
    <t>GASEOSA 400</t>
  </si>
  <si>
    <t>OK</t>
  </si>
  <si>
    <t>8 UNIDADES</t>
  </si>
  <si>
    <t>env_1783381879150_zpgud5</t>
  </si>
  <si>
    <t>GASEOSA 500</t>
  </si>
  <si>
    <t>env_1783439247995_9bbc40</t>
  </si>
  <si>
    <t>GASEOSA 1.5</t>
  </si>
  <si>
    <t>env_1783625977168</t>
  </si>
  <si>
    <t>2500 GRAMOS</t>
  </si>
  <si>
    <t>inventario</t>
  </si>
  <si>
    <t>env_1783627322951</t>
  </si>
  <si>
    <t>MAZORCADA</t>
  </si>
  <si>
    <t>ventas</t>
  </si>
  <si>
    <t>env_1783628841043</t>
  </si>
  <si>
    <t>ingreso</t>
  </si>
  <si>
    <t>GATORADE</t>
  </si>
  <si>
    <t>env_1783628856828</t>
  </si>
  <si>
    <t>GASEOSA 3.0</t>
  </si>
  <si>
    <t>1 UNIDAD</t>
  </si>
  <si>
    <t>TEE</t>
  </si>
  <si>
    <t>CERVEZA POKER</t>
  </si>
  <si>
    <t>AGUA CON GAS</t>
  </si>
  <si>
    <t>CORONA</t>
  </si>
  <si>
    <t>SPEED</t>
  </si>
  <si>
    <t>CORONITA</t>
  </si>
  <si>
    <t>BRETAÑA</t>
  </si>
  <si>
    <t>JUGO HIT 1.5</t>
  </si>
  <si>
    <t>COLA Y POLA LATA</t>
  </si>
  <si>
    <t>H2O</t>
  </si>
  <si>
    <t>PULPA FRUTA</t>
  </si>
  <si>
    <t>COLA Y POLA 1,5</t>
  </si>
  <si>
    <t>MINI CHURRASCO</t>
  </si>
  <si>
    <t>SAVILOE 420</t>
  </si>
  <si>
    <t>CHORIZO CUNCIA</t>
  </si>
  <si>
    <t>TOCINETA</t>
  </si>
  <si>
    <t>FECHA</t>
  </si>
  <si>
    <t>PRECIO</t>
  </si>
  <si>
    <t>CODIGO</t>
  </si>
  <si>
    <t>PRODUCTO</t>
  </si>
  <si>
    <t>CANT</t>
  </si>
  <si>
    <t>VALOR</t>
  </si>
  <si>
    <t>INSUMO</t>
  </si>
  <si>
    <t>GASTO</t>
  </si>
  <si>
    <t>INV_AYER</t>
  </si>
  <si>
    <t>INGRESO</t>
  </si>
  <si>
    <t>GASTO J/C</t>
  </si>
  <si>
    <t>DEBE HABER</t>
  </si>
  <si>
    <t>EXIS_REAL</t>
  </si>
  <si>
    <t>YUCA</t>
  </si>
  <si>
    <t>FALTO/SOBRO</t>
  </si>
  <si>
    <t>Resumen Reporte</t>
  </si>
  <si>
    <t>LOMO DE CERDO</t>
  </si>
  <si>
    <t>PAPA RIPIO</t>
  </si>
  <si>
    <t>2400 GM</t>
  </si>
  <si>
    <t>PEPEREONY</t>
  </si>
  <si>
    <t>LECHE</t>
  </si>
  <si>
    <t xml:space="preserve">BOLSA </t>
  </si>
  <si>
    <t>PIZZA HAWALLANA</t>
  </si>
  <si>
    <t>900 ML</t>
  </si>
  <si>
    <t>ELECTROLIT</t>
  </si>
  <si>
    <t>COLA Y POLA 330</t>
  </si>
  <si>
    <t>MASAS HECHAS</t>
  </si>
  <si>
    <t>MASAS QUEDARON</t>
  </si>
  <si>
    <t>I002</t>
  </si>
  <si>
    <t>✅ Total vendido</t>
  </si>
  <si>
    <t>PIZZA CHAMPIÑONES</t>
  </si>
  <si>
    <t>I003</t>
  </si>
  <si>
    <t>✅ Número de ventas</t>
  </si>
  <si>
    <t>PIZZA CARNES</t>
  </si>
  <si>
    <t>I058</t>
  </si>
  <si>
    <t>✅ Producto más vendido</t>
  </si>
  <si>
    <t>PIZZA MEXICANA</t>
  </si>
  <si>
    <t>✅ Sobra / Falta</t>
  </si>
  <si>
    <t>PIZZA RANCHERA</t>
  </si>
  <si>
    <t>✅ Gráfico automático</t>
  </si>
  <si>
    <t>PIZZA PERRO</t>
  </si>
  <si>
    <t>PIZZA COLOMBIANA</t>
  </si>
  <si>
    <t>Codigo_Producto</t>
  </si>
  <si>
    <t>Hora</t>
  </si>
  <si>
    <t>Codigo_Insumo</t>
  </si>
  <si>
    <t>Código_Producto</t>
  </si>
  <si>
    <t>Insumo</t>
  </si>
  <si>
    <t>Precio_Unitario</t>
  </si>
  <si>
    <t>I006</t>
  </si>
  <si>
    <t>Registrado_Por</t>
  </si>
  <si>
    <t>PIZZA DE LA CASA</t>
  </si>
  <si>
    <t>Tipo_Pedido</t>
  </si>
  <si>
    <t>ID_Pedido</t>
  </si>
  <si>
    <t>Observacion</t>
  </si>
  <si>
    <t>PIZZA PEPERONI</t>
  </si>
  <si>
    <t>HAMB. SENCILLA</t>
  </si>
  <si>
    <t>I005</t>
  </si>
  <si>
    <t>I004</t>
  </si>
  <si>
    <t>HAMB. POLLO</t>
  </si>
  <si>
    <t>HAMB. DOBLE CARNE</t>
  </si>
  <si>
    <t>HAMB. MIXTA</t>
  </si>
  <si>
    <t>I007</t>
  </si>
  <si>
    <t>PERRO SENCILLO</t>
  </si>
  <si>
    <t>I008</t>
  </si>
  <si>
    <t>PERRO ESPECIAL</t>
  </si>
  <si>
    <t>I009</t>
  </si>
  <si>
    <t>CHORIPERRO</t>
  </si>
  <si>
    <t>I010</t>
  </si>
  <si>
    <t>SALCHIPAPA</t>
  </si>
  <si>
    <t>CHORIPAPA</t>
  </si>
  <si>
    <t>I050</t>
  </si>
  <si>
    <t>SUIZA</t>
  </si>
  <si>
    <t>PORCION PAPA</t>
  </si>
  <si>
    <t>COSTILLITAS BBQ</t>
  </si>
  <si>
    <t>I011</t>
  </si>
  <si>
    <t>CHURRASCO</t>
  </si>
  <si>
    <t>I001</t>
  </si>
  <si>
    <t>I052</t>
  </si>
  <si>
    <t>CARNE ENCEBOLLADA</t>
  </si>
  <si>
    <t>I012</t>
  </si>
  <si>
    <t>I013</t>
  </si>
  <si>
    <t>I051</t>
  </si>
  <si>
    <t>I059</t>
  </si>
  <si>
    <t>I014</t>
  </si>
  <si>
    <t>SALCHIPAPA ESPECIAL</t>
  </si>
  <si>
    <t>I015</t>
  </si>
  <si>
    <t>I016</t>
  </si>
  <si>
    <t>COCA COLA 400</t>
  </si>
  <si>
    <t>I017</t>
  </si>
  <si>
    <t>I019</t>
  </si>
  <si>
    <t>I018</t>
  </si>
  <si>
    <t>PATACONA</t>
  </si>
  <si>
    <t>COLA Y POLA</t>
  </si>
  <si>
    <t>I020</t>
  </si>
  <si>
    <t>I021</t>
  </si>
  <si>
    <t>MALTA</t>
  </si>
  <si>
    <t>PATACONA HAM</t>
  </si>
  <si>
    <t>I022</t>
  </si>
  <si>
    <t>I054</t>
  </si>
  <si>
    <t>I037</t>
  </si>
  <si>
    <t>I023</t>
  </si>
  <si>
    <t>SALCHIPAPA MINI</t>
  </si>
  <si>
    <t>I024</t>
  </si>
  <si>
    <t>PATACONA HAMB</t>
  </si>
  <si>
    <t>COCA COLA 3L</t>
  </si>
  <si>
    <t>I026</t>
  </si>
  <si>
    <t>HUEVOS CODORNIZ</t>
  </si>
  <si>
    <t>I027</t>
  </si>
  <si>
    <t>I025</t>
  </si>
  <si>
    <t>HAMBUER DOBLE POLLO</t>
  </si>
  <si>
    <t>I029</t>
  </si>
  <si>
    <t>I030</t>
  </si>
  <si>
    <t>I031</t>
  </si>
  <si>
    <t>PECHUGA GRATINADA</t>
  </si>
  <si>
    <t>I032</t>
  </si>
  <si>
    <t>I033</t>
  </si>
  <si>
    <t>H20</t>
  </si>
  <si>
    <t>I034</t>
  </si>
  <si>
    <t>I060</t>
  </si>
  <si>
    <t>PICADA 38</t>
  </si>
  <si>
    <t>I043</t>
  </si>
  <si>
    <t>I055</t>
  </si>
  <si>
    <t>I038</t>
  </si>
  <si>
    <t>I039</t>
  </si>
  <si>
    <t>I040</t>
  </si>
  <si>
    <t>PATACONA ESPECIAL</t>
  </si>
  <si>
    <t>I041</t>
  </si>
  <si>
    <t>I042</t>
  </si>
  <si>
    <t>MICHELADA</t>
  </si>
  <si>
    <t>MICHELADA ESPECIAL</t>
  </si>
  <si>
    <t>CEREZADA</t>
  </si>
  <si>
    <t>I044</t>
  </si>
  <si>
    <t>HAMBUR TRIPLE CARNE</t>
  </si>
  <si>
    <t>I045</t>
  </si>
  <si>
    <t>JUGO VASO AGUA</t>
  </si>
  <si>
    <t>CAJA PIZZA GRANDE</t>
  </si>
  <si>
    <t>I061</t>
  </si>
  <si>
    <t>JUGO VASO LECHE</t>
  </si>
  <si>
    <t>PORCION PATACON</t>
  </si>
  <si>
    <t>JUGO JARRA AGUA</t>
  </si>
  <si>
    <t>CAJA PIZZA PEQUEÑA</t>
  </si>
  <si>
    <t>JUGO JARRA LECHE</t>
  </si>
  <si>
    <t>BAÑO</t>
  </si>
  <si>
    <t>COLA POLA LATA</t>
  </si>
  <si>
    <t>DESECHABLE</t>
  </si>
  <si>
    <t>PICADA 50</t>
  </si>
  <si>
    <t>Unidad</t>
  </si>
  <si>
    <t>I046</t>
  </si>
  <si>
    <t>PIZZAS</t>
  </si>
  <si>
    <t>gramos</t>
  </si>
  <si>
    <t>I035</t>
  </si>
  <si>
    <t>unidad</t>
  </si>
  <si>
    <t>PICADA 65</t>
  </si>
  <si>
    <t>I028</t>
  </si>
  <si>
    <t>PICADA 80</t>
  </si>
  <si>
    <t>CITRICA VASO SODA</t>
  </si>
  <si>
    <t>I056</t>
  </si>
  <si>
    <t>CITRICA JARRA SODA</t>
  </si>
  <si>
    <t>I036</t>
  </si>
  <si>
    <t>I047</t>
  </si>
  <si>
    <t>I062</t>
  </si>
  <si>
    <t>I048</t>
  </si>
  <si>
    <t>I049</t>
  </si>
  <si>
    <t>I053</t>
  </si>
  <si>
    <t>ml</t>
  </si>
  <si>
    <t>I063</t>
  </si>
  <si>
    <t>I064</t>
  </si>
  <si>
    <t>I065</t>
  </si>
  <si>
    <t>I066</t>
  </si>
  <si>
    <t>I067</t>
  </si>
  <si>
    <t>PORCION SUIZA</t>
  </si>
  <si>
    <t>CARNE A LA PLANCHA</t>
  </si>
  <si>
    <t>PECHUGA EN SAL CHAMP</t>
  </si>
  <si>
    <t>HAMBURGUESA CRIOLLA</t>
  </si>
  <si>
    <t>HAMBURGUESA GRATI</t>
  </si>
  <si>
    <t>Código</t>
  </si>
  <si>
    <t>Nombre</t>
  </si>
  <si>
    <t>Categoría</t>
  </si>
  <si>
    <t>Precio_Venta</t>
  </si>
  <si>
    <t>Activo</t>
  </si>
  <si>
    <t>HAMBURGUESA</t>
  </si>
  <si>
    <t>PERRO</t>
  </si>
  <si>
    <t>SALCHIPAPAS</t>
  </si>
  <si>
    <t>ADICIONALES</t>
  </si>
  <si>
    <t>ESPECIALES</t>
  </si>
  <si>
    <t>BEBIDAS</t>
  </si>
  <si>
    <t>Habia_Ayer</t>
  </si>
  <si>
    <t>Ingreso</t>
  </si>
  <si>
    <t>Gasto</t>
  </si>
  <si>
    <t>Gasto_JC</t>
  </si>
  <si>
    <t>Debe_Haber</t>
  </si>
  <si>
    <t>Existe_Real</t>
  </si>
  <si>
    <t>Diferencia</t>
  </si>
  <si>
    <t>SIN CONTEO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</si>
</sst>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&quot;-&quot;mm&quot;-&quot;dd"/>
    <numFmt numFmtId="166" formatCode="m/d/yyyy h:mm:ss"/>
    <numFmt numFmtId="167" formatCode="d/m/yyyy h:mm:ss"/>
    <numFmt numFmtId="168" formatCode="&quot;$&quot;#,##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Arial"/>
      <scheme val="minor"/>
    </font>
    <font>
      <b/>
      <sz val="11.0"/>
      <color rgb="FFFF0000"/>
      <name val="Calibri"/>
    </font>
    <font>
      <sz val="11.0"/>
      <color rgb="FF000000"/>
      <name val="Calibri"/>
    </font>
    <font>
      <b/>
      <color rgb="FF000000"/>
      <name val="Arial"/>
    </font>
    <font>
      <b/>
      <color rgb="FF8C8C8C"/>
      <name val="Monospace"/>
    </font>
    <font>
      <b/>
      <sz val="9.0"/>
      <color rgb="FF000000"/>
      <name val="Calibri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readingOrder="0"/>
    </xf>
    <xf borderId="0" fillId="0" fontId="3" numFmtId="0" xfId="0" applyFont="1"/>
    <xf borderId="0" fillId="0" fontId="3" numFmtId="167" xfId="0" applyAlignment="1" applyFont="1" applyNumberFormat="1">
      <alignment readingOrder="0"/>
    </xf>
    <xf borderId="0" fillId="0" fontId="3" numFmtId="165" xfId="0" applyFont="1" applyNumberFormat="1"/>
    <xf borderId="0" fillId="0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3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4" numFmtId="168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2" fontId="4" numFmtId="168" xfId="0" applyAlignment="1" applyFill="1" applyFont="1" applyNumberForma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1" fillId="3" fontId="6" numFmtId="0" xfId="0" applyAlignment="1" applyBorder="1" applyFill="1" applyFont="1">
      <alignment horizontal="right" readingOrder="0" shrinkToFit="0" vertical="bottom" wrapText="0"/>
    </xf>
    <xf borderId="0" fillId="4" fontId="4" numFmtId="3" xfId="0" applyAlignment="1" applyFill="1" applyFont="1" applyNumberForma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4" fontId="4" numFmtId="0" xfId="0" applyAlignment="1" applyFont="1">
      <alignment horizontal="right" readingOrder="0" shrinkToFit="0" vertical="bottom" wrapText="0"/>
    </xf>
    <xf borderId="1" fillId="3" fontId="6" numFmtId="0" xfId="0" applyAlignment="1" applyBorder="1" applyFont="1">
      <alignment horizontal="right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1" numFmtId="168" xfId="0" applyAlignment="1" applyFont="1" applyNumberFormat="1">
      <alignment horizontal="center" readingOrder="0"/>
    </xf>
    <xf borderId="0" fillId="4" fontId="8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4" fontId="9" numFmtId="0" xfId="0" applyAlignment="1" applyFont="1">
      <alignment readingOrder="0"/>
    </xf>
    <xf borderId="0" fillId="0" fontId="3" numFmtId="168" xfId="0" applyFont="1" applyNumberFormat="1"/>
    <xf borderId="1" fillId="3" fontId="6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right" readingOrder="0" shrinkToFit="0" wrapText="0"/>
    </xf>
    <xf borderId="1" fillId="3" fontId="4" numFmtId="0" xfId="0" applyAlignment="1" applyBorder="1" applyFont="1">
      <alignment horizontal="right" shrinkToFit="0" vertical="bottom" wrapText="0"/>
    </xf>
    <xf borderId="1" fillId="3" fontId="4" numFmtId="0" xfId="0" applyAlignment="1" applyBorder="1" applyFont="1">
      <alignment shrinkToFit="0" vertical="bottom" wrapText="0"/>
    </xf>
    <xf borderId="0" fillId="4" fontId="10" numFmtId="0" xfId="0" applyAlignment="1" applyFont="1">
      <alignment readingOrder="0" shrinkToFit="0" vertical="bottom" wrapText="0"/>
    </xf>
    <xf borderId="0" fillId="0" fontId="11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914400</xdr:colOff>
      <xdr:row>0</xdr:row>
      <xdr:rowOff>0</xdr:rowOff>
    </xdr:from>
    <xdr:ext cx="1390650" cy="314325"/>
    <xdr:sp>
      <xdr:nvSpPr>
        <xdr:cNvPr id="3" name="Shape 3"/>
        <xdr:cNvSpPr/>
      </xdr:nvSpPr>
      <xdr:spPr>
        <a:xfrm>
          <a:off x="2598675" y="226650"/>
          <a:ext cx="1370400" cy="306900"/>
        </a:xfrm>
        <a:prstGeom prst="flowChartAlternateProcess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Generar Reporte</a:t>
          </a:r>
          <a:endParaRPr b="1"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0"/>
    <col customWidth="1" min="3" max="3" width="11.0"/>
    <col customWidth="1" min="4" max="4" width="19.75"/>
    <col customWidth="1" min="5" max="5" width="20.75"/>
    <col customWidth="1" min="6" max="6" width="17.5"/>
    <col customWidth="1" min="7" max="7" width="13.25"/>
    <col customWidth="1" min="8" max="8" width="16.63"/>
  </cols>
  <sheetData>
    <row r="1">
      <c r="A1" s="2" t="s">
        <v>1</v>
      </c>
      <c r="B1" s="2" t="s">
        <v>8</v>
      </c>
      <c r="C1" s="2" t="s">
        <v>9</v>
      </c>
      <c r="D1" s="2" t="s">
        <v>11</v>
      </c>
      <c r="E1" s="2" t="s">
        <v>12</v>
      </c>
      <c r="F1" s="4" t="s">
        <v>13</v>
      </c>
      <c r="G1" s="4" t="s">
        <v>15</v>
      </c>
      <c r="H1" s="4" t="s">
        <v>17</v>
      </c>
    </row>
    <row r="2">
      <c r="A2" s="7" t="s">
        <v>19</v>
      </c>
      <c r="B2" s="7" t="s">
        <v>16</v>
      </c>
      <c r="C2" s="7" t="s">
        <v>21</v>
      </c>
      <c r="D2" s="7"/>
      <c r="E2" s="7" t="s">
        <v>18</v>
      </c>
      <c r="F2" s="4" t="s">
        <v>15</v>
      </c>
      <c r="G2" s="4" t="s">
        <v>15</v>
      </c>
      <c r="H2" s="9"/>
    </row>
    <row r="3">
      <c r="A3" s="7" t="s">
        <v>19</v>
      </c>
      <c r="B3" s="7" t="s">
        <v>16</v>
      </c>
      <c r="C3" s="7"/>
      <c r="D3" s="7"/>
      <c r="E3" s="7" t="s">
        <v>22</v>
      </c>
      <c r="F3" s="4" t="s">
        <v>25</v>
      </c>
      <c r="G3" s="4" t="s">
        <v>26</v>
      </c>
      <c r="H3" s="9"/>
    </row>
    <row r="4">
      <c r="A4" s="7" t="s">
        <v>19</v>
      </c>
      <c r="B4" s="7" t="s">
        <v>16</v>
      </c>
      <c r="C4" s="7"/>
      <c r="D4" s="7"/>
      <c r="E4" s="7" t="s">
        <v>24</v>
      </c>
      <c r="F4" s="4" t="s">
        <v>30</v>
      </c>
      <c r="G4" s="4" t="s">
        <v>31</v>
      </c>
      <c r="H4" s="9"/>
    </row>
    <row r="5">
      <c r="A5" s="7" t="s">
        <v>19</v>
      </c>
      <c r="B5" s="7" t="s">
        <v>16</v>
      </c>
      <c r="C5" s="7"/>
      <c r="D5" s="7"/>
      <c r="E5" s="7" t="s">
        <v>28</v>
      </c>
      <c r="F5" s="4" t="s">
        <v>25</v>
      </c>
      <c r="G5" s="4" t="s">
        <v>35</v>
      </c>
      <c r="H5" s="9"/>
    </row>
    <row r="6">
      <c r="A6" s="7" t="s">
        <v>19</v>
      </c>
      <c r="B6" s="7" t="s">
        <v>16</v>
      </c>
      <c r="C6" s="7"/>
      <c r="D6" s="7"/>
      <c r="E6" s="7" t="s">
        <v>27</v>
      </c>
      <c r="F6" s="4" t="s">
        <v>25</v>
      </c>
      <c r="G6" s="4" t="s">
        <v>40</v>
      </c>
      <c r="H6" s="4">
        <v>10.0</v>
      </c>
    </row>
    <row r="7">
      <c r="A7" s="7" t="s">
        <v>19</v>
      </c>
      <c r="B7" s="7" t="s">
        <v>16</v>
      </c>
      <c r="C7" s="7"/>
      <c r="D7" s="7"/>
      <c r="E7" s="7" t="s">
        <v>33</v>
      </c>
      <c r="F7" s="4" t="s">
        <v>15</v>
      </c>
      <c r="H7" s="9"/>
    </row>
    <row r="8">
      <c r="A8" s="7" t="s">
        <v>19</v>
      </c>
      <c r="B8" s="7" t="s">
        <v>16</v>
      </c>
      <c r="C8" s="7"/>
      <c r="D8" s="7"/>
      <c r="E8" s="7" t="s">
        <v>37</v>
      </c>
      <c r="F8" s="4" t="s">
        <v>15</v>
      </c>
      <c r="H8" s="9"/>
    </row>
    <row r="9">
      <c r="A9" s="7"/>
      <c r="B9" s="7" t="s">
        <v>16</v>
      </c>
      <c r="C9" s="7"/>
      <c r="D9" s="7"/>
      <c r="E9" s="7" t="s">
        <v>48</v>
      </c>
      <c r="F9" s="4" t="s">
        <v>25</v>
      </c>
      <c r="H9" s="4">
        <v>24.0</v>
      </c>
    </row>
    <row r="10">
      <c r="A10" s="7" t="s">
        <v>19</v>
      </c>
      <c r="B10" s="7" t="s">
        <v>16</v>
      </c>
      <c r="C10" s="7" t="s">
        <v>21</v>
      </c>
      <c r="D10" s="7"/>
      <c r="E10" s="7" t="s">
        <v>39</v>
      </c>
      <c r="F10" s="4" t="s">
        <v>52</v>
      </c>
      <c r="G10" s="4" t="s">
        <v>53</v>
      </c>
      <c r="H10" s="9"/>
    </row>
    <row r="11">
      <c r="A11" s="7" t="s">
        <v>19</v>
      </c>
      <c r="B11" s="7" t="s">
        <v>16</v>
      </c>
      <c r="C11" s="7"/>
      <c r="D11" s="7"/>
      <c r="E11" s="7" t="s">
        <v>29</v>
      </c>
      <c r="F11" s="4" t="s">
        <v>25</v>
      </c>
      <c r="G11" s="4" t="s">
        <v>54</v>
      </c>
      <c r="H11" s="9"/>
    </row>
    <row r="12">
      <c r="A12" s="7" t="s">
        <v>19</v>
      </c>
      <c r="B12" s="7" t="s">
        <v>16</v>
      </c>
      <c r="C12" s="7"/>
      <c r="D12" s="7"/>
      <c r="E12" s="7" t="s">
        <v>43</v>
      </c>
      <c r="F12" s="4" t="s">
        <v>56</v>
      </c>
      <c r="G12" s="4" t="s">
        <v>57</v>
      </c>
      <c r="H12" s="9"/>
    </row>
    <row r="13">
      <c r="A13" s="7"/>
      <c r="B13" s="7" t="s">
        <v>16</v>
      </c>
      <c r="C13" s="7" t="s">
        <v>21</v>
      </c>
      <c r="D13" s="7"/>
      <c r="E13" s="7" t="s">
        <v>32</v>
      </c>
      <c r="F13" s="4" t="s">
        <v>25</v>
      </c>
      <c r="H13" s="4" t="s">
        <v>58</v>
      </c>
    </row>
    <row r="14">
      <c r="A14" s="7"/>
      <c r="B14" s="7" t="s">
        <v>16</v>
      </c>
      <c r="C14" s="7" t="s">
        <v>21</v>
      </c>
      <c r="D14" s="7"/>
      <c r="E14" s="7" t="s">
        <v>46</v>
      </c>
      <c r="H14" s="4" t="s">
        <v>60</v>
      </c>
    </row>
    <row r="15">
      <c r="A15" s="7"/>
      <c r="B15" s="7" t="s">
        <v>16</v>
      </c>
      <c r="C15" s="7" t="s">
        <v>21</v>
      </c>
      <c r="D15" s="7"/>
      <c r="E15" s="7" t="s">
        <v>50</v>
      </c>
      <c r="F15" s="4" t="s">
        <v>61</v>
      </c>
      <c r="H15" s="4" t="s">
        <v>63</v>
      </c>
    </row>
    <row r="16">
      <c r="A16" s="7"/>
      <c r="B16" s="7" t="s">
        <v>16</v>
      </c>
      <c r="C16" s="7" t="s">
        <v>21</v>
      </c>
      <c r="D16" s="7"/>
      <c r="E16" s="7" t="s">
        <v>36</v>
      </c>
      <c r="F16" s="4" t="s">
        <v>25</v>
      </c>
      <c r="H16" s="4" t="s">
        <v>65</v>
      </c>
    </row>
    <row r="17">
      <c r="A17" s="7"/>
      <c r="B17" s="7" t="s">
        <v>16</v>
      </c>
      <c r="C17" s="7" t="s">
        <v>21</v>
      </c>
      <c r="D17" s="7"/>
      <c r="E17" s="7" t="s">
        <v>38</v>
      </c>
      <c r="F17" s="4" t="s">
        <v>25</v>
      </c>
      <c r="H17" s="4" t="s">
        <v>68</v>
      </c>
    </row>
    <row r="18">
      <c r="A18" s="7"/>
      <c r="B18" s="7" t="s">
        <v>16</v>
      </c>
      <c r="C18" s="7" t="s">
        <v>21</v>
      </c>
      <c r="D18" s="7"/>
      <c r="E18" s="7" t="s">
        <v>55</v>
      </c>
      <c r="F18" s="4" t="s">
        <v>25</v>
      </c>
      <c r="H18" s="4" t="s">
        <v>75</v>
      </c>
    </row>
    <row r="19">
      <c r="A19" s="7"/>
      <c r="B19" s="7" t="s">
        <v>16</v>
      </c>
      <c r="C19" s="7" t="s">
        <v>21</v>
      </c>
      <c r="D19" s="7"/>
      <c r="E19" s="7" t="s">
        <v>41</v>
      </c>
      <c r="F19" s="4" t="s">
        <v>25</v>
      </c>
      <c r="G19" s="4" t="s">
        <v>81</v>
      </c>
      <c r="H19" s="9"/>
    </row>
    <row r="20">
      <c r="A20" s="7"/>
      <c r="B20" s="7" t="s">
        <v>16</v>
      </c>
      <c r="C20" s="7" t="s">
        <v>21</v>
      </c>
      <c r="D20" s="7"/>
      <c r="E20" s="7" t="s">
        <v>59</v>
      </c>
      <c r="F20" s="4" t="s">
        <v>25</v>
      </c>
      <c r="H20" s="4" t="s">
        <v>58</v>
      </c>
    </row>
    <row r="21">
      <c r="A21" s="7"/>
      <c r="B21" s="7" t="s">
        <v>16</v>
      </c>
      <c r="C21" s="7"/>
      <c r="D21" s="7"/>
      <c r="E21" s="7" t="s">
        <v>42</v>
      </c>
      <c r="F21" s="4" t="s">
        <v>25</v>
      </c>
      <c r="H21" s="4" t="s">
        <v>91</v>
      </c>
    </row>
    <row r="22">
      <c r="A22" s="7"/>
      <c r="B22" s="7" t="s">
        <v>16</v>
      </c>
      <c r="C22" s="7"/>
      <c r="D22" s="7"/>
      <c r="E22" s="7" t="s">
        <v>62</v>
      </c>
      <c r="H22" s="4" t="s">
        <v>60</v>
      </c>
    </row>
    <row r="23">
      <c r="A23" s="7"/>
      <c r="B23" s="7" t="s">
        <v>16</v>
      </c>
      <c r="C23" s="7"/>
      <c r="D23" s="7"/>
      <c r="E23" s="7" t="s">
        <v>64</v>
      </c>
      <c r="H23" s="4" t="s">
        <v>60</v>
      </c>
    </row>
    <row r="24">
      <c r="A24" s="12"/>
      <c r="B24" s="12"/>
      <c r="C24" s="12"/>
      <c r="D24" s="12" t="s">
        <v>66</v>
      </c>
      <c r="E24" s="12" t="s">
        <v>44</v>
      </c>
      <c r="H24" s="4" t="s">
        <v>60</v>
      </c>
    </row>
    <row r="25">
      <c r="A25" s="12"/>
      <c r="B25" s="12"/>
      <c r="C25" s="12"/>
      <c r="D25" s="12" t="s">
        <v>66</v>
      </c>
      <c r="E25" s="12" t="s">
        <v>69</v>
      </c>
      <c r="H25" s="4" t="s">
        <v>60</v>
      </c>
    </row>
    <row r="26">
      <c r="A26" s="12"/>
      <c r="B26" s="12"/>
      <c r="C26" s="12"/>
      <c r="D26" s="12" t="s">
        <v>66</v>
      </c>
      <c r="E26" s="12" t="s">
        <v>73</v>
      </c>
      <c r="H26" s="4" t="s">
        <v>60</v>
      </c>
    </row>
    <row r="27">
      <c r="A27" s="12"/>
      <c r="B27" s="12"/>
      <c r="C27" s="12"/>
      <c r="D27" s="12" t="s">
        <v>66</v>
      </c>
      <c r="E27" s="12" t="s">
        <v>77</v>
      </c>
      <c r="H27" s="4" t="s">
        <v>60</v>
      </c>
    </row>
    <row r="28">
      <c r="A28" s="12"/>
      <c r="B28" s="12"/>
      <c r="C28" s="12"/>
      <c r="D28" s="12" t="s">
        <v>66</v>
      </c>
      <c r="E28" s="12" t="s">
        <v>79</v>
      </c>
      <c r="H28" s="4" t="s">
        <v>60</v>
      </c>
    </row>
    <row r="29">
      <c r="A29" s="13"/>
      <c r="B29" s="13" t="s">
        <v>16</v>
      </c>
      <c r="C29" s="13"/>
      <c r="D29" s="13"/>
      <c r="E29" s="13" t="s">
        <v>84</v>
      </c>
      <c r="H29" s="4" t="s">
        <v>60</v>
      </c>
    </row>
    <row r="30">
      <c r="A30" s="12"/>
      <c r="B30" s="12"/>
      <c r="C30" s="12"/>
      <c r="D30" s="12" t="s">
        <v>66</v>
      </c>
      <c r="E30" s="12" t="s">
        <v>88</v>
      </c>
      <c r="H30" s="4" t="s">
        <v>60</v>
      </c>
    </row>
    <row r="31">
      <c r="A31" s="12"/>
      <c r="B31" s="12"/>
      <c r="C31" s="12"/>
      <c r="D31" s="12" t="s">
        <v>66</v>
      </c>
      <c r="E31" s="12" t="s">
        <v>90</v>
      </c>
      <c r="H31" s="4" t="s">
        <v>60</v>
      </c>
    </row>
    <row r="32">
      <c r="A32" s="12"/>
      <c r="B32" s="12"/>
      <c r="C32" s="12"/>
      <c r="D32" s="12" t="s">
        <v>66</v>
      </c>
      <c r="E32" s="12" t="s">
        <v>92</v>
      </c>
      <c r="H32" s="4" t="s">
        <v>60</v>
      </c>
    </row>
    <row r="33">
      <c r="A33" s="12"/>
      <c r="B33" s="12"/>
      <c r="C33" s="12"/>
      <c r="D33" s="12" t="s">
        <v>66</v>
      </c>
      <c r="E33" s="12" t="s">
        <v>93</v>
      </c>
      <c r="H33" s="4" t="s">
        <v>60</v>
      </c>
    </row>
    <row r="34">
      <c r="A34" s="12"/>
      <c r="B34" s="12"/>
      <c r="C34" s="12"/>
      <c r="D34" s="12" t="s">
        <v>66</v>
      </c>
      <c r="E34" s="12" t="s">
        <v>94</v>
      </c>
      <c r="H34" s="4" t="s">
        <v>60</v>
      </c>
    </row>
    <row r="35">
      <c r="A35" s="12"/>
      <c r="B35" s="12"/>
      <c r="C35" s="12"/>
      <c r="D35" s="12" t="s">
        <v>66</v>
      </c>
      <c r="E35" s="12" t="s">
        <v>45</v>
      </c>
      <c r="H35" s="4" t="s">
        <v>60</v>
      </c>
    </row>
    <row r="36">
      <c r="A36" s="12"/>
      <c r="B36" s="12" t="s">
        <v>16</v>
      </c>
      <c r="C36" s="12"/>
      <c r="D36" s="12"/>
      <c r="E36" s="12" t="s">
        <v>47</v>
      </c>
      <c r="H36" s="4" t="s">
        <v>60</v>
      </c>
    </row>
    <row r="37">
      <c r="A37" s="12"/>
      <c r="B37" s="12"/>
      <c r="C37" s="12"/>
      <c r="D37" s="12" t="s">
        <v>66</v>
      </c>
      <c r="E37" s="12" t="s">
        <v>105</v>
      </c>
      <c r="H37" s="4" t="s">
        <v>60</v>
      </c>
    </row>
    <row r="38">
      <c r="A38" s="12"/>
      <c r="B38" s="12" t="s">
        <v>16</v>
      </c>
      <c r="C38" s="12" t="s">
        <v>21</v>
      </c>
      <c r="D38" s="12"/>
      <c r="E38" s="12" t="s">
        <v>106</v>
      </c>
      <c r="H38" s="4" t="s">
        <v>60</v>
      </c>
    </row>
    <row r="39">
      <c r="A39" s="12"/>
      <c r="B39" s="12"/>
      <c r="C39" s="12"/>
      <c r="D39" s="12" t="s">
        <v>66</v>
      </c>
      <c r="E39" s="12" t="s">
        <v>95</v>
      </c>
      <c r="H39" s="4" t="s">
        <v>60</v>
      </c>
    </row>
    <row r="40">
      <c r="A40" s="12"/>
      <c r="B40" s="12"/>
      <c r="C40" s="12"/>
      <c r="D40" s="12" t="s">
        <v>66</v>
      </c>
      <c r="E40" s="12" t="s">
        <v>96</v>
      </c>
      <c r="H40" s="4" t="s">
        <v>60</v>
      </c>
    </row>
    <row r="41">
      <c r="A41" s="12"/>
      <c r="B41" s="12"/>
      <c r="C41" s="12"/>
      <c r="D41" s="12" t="s">
        <v>66</v>
      </c>
      <c r="E41" s="12" t="s">
        <v>49</v>
      </c>
      <c r="H41" s="4" t="s">
        <v>60</v>
      </c>
    </row>
    <row r="42">
      <c r="A42" s="12"/>
      <c r="B42" s="12"/>
      <c r="C42" s="12"/>
      <c r="D42" s="12" t="s">
        <v>66</v>
      </c>
      <c r="E42" s="12" t="s">
        <v>97</v>
      </c>
      <c r="H42" s="4" t="s">
        <v>60</v>
      </c>
    </row>
    <row r="43">
      <c r="A43" s="12"/>
      <c r="B43" s="12"/>
      <c r="C43" s="12"/>
      <c r="D43" s="12" t="s">
        <v>66</v>
      </c>
      <c r="E43" s="12" t="s">
        <v>98</v>
      </c>
      <c r="H43" s="4" t="s">
        <v>60</v>
      </c>
    </row>
    <row r="44">
      <c r="A44" s="7"/>
      <c r="B44" s="7"/>
      <c r="C44" s="7"/>
      <c r="D44" s="7" t="s">
        <v>66</v>
      </c>
      <c r="E44" s="7" t="s">
        <v>99</v>
      </c>
      <c r="H44" s="4" t="s">
        <v>60</v>
      </c>
    </row>
    <row r="45">
      <c r="A45" s="7" t="s">
        <v>19</v>
      </c>
      <c r="B45" s="7" t="s">
        <v>16</v>
      </c>
      <c r="C45" s="7" t="s">
        <v>21</v>
      </c>
      <c r="D45" s="7"/>
      <c r="E45" s="7" t="s">
        <v>107</v>
      </c>
      <c r="H45" s="4" t="s">
        <v>60</v>
      </c>
    </row>
    <row r="46">
      <c r="A46" s="7"/>
      <c r="B46" s="7"/>
      <c r="C46" s="7"/>
      <c r="D46" s="7" t="s">
        <v>66</v>
      </c>
      <c r="E46" s="7" t="s">
        <v>100</v>
      </c>
      <c r="H46" s="4" t="s">
        <v>60</v>
      </c>
    </row>
    <row r="47">
      <c r="A47" s="7"/>
      <c r="B47" s="7"/>
      <c r="C47" s="7"/>
      <c r="D47" s="7" t="s">
        <v>66</v>
      </c>
      <c r="E47" s="7" t="s">
        <v>101</v>
      </c>
      <c r="H47" s="4" t="s">
        <v>60</v>
      </c>
    </row>
    <row r="48">
      <c r="A48" s="7"/>
      <c r="B48" s="7" t="s">
        <v>16</v>
      </c>
      <c r="C48" s="7"/>
      <c r="D48" s="7"/>
      <c r="E48" s="7" t="s">
        <v>102</v>
      </c>
      <c r="H48" s="4" t="s">
        <v>60</v>
      </c>
    </row>
    <row r="49">
      <c r="A49" s="7"/>
      <c r="B49" s="7" t="s">
        <v>16</v>
      </c>
      <c r="C49" s="7"/>
      <c r="D49" s="7"/>
      <c r="E49" s="7" t="s">
        <v>121</v>
      </c>
      <c r="H49" s="4" t="s">
        <v>60</v>
      </c>
    </row>
    <row r="50">
      <c r="A50" s="7"/>
      <c r="B50" s="7" t="s">
        <v>16</v>
      </c>
      <c r="C50" s="7"/>
      <c r="D50" s="7"/>
      <c r="E50" s="7" t="s">
        <v>124</v>
      </c>
      <c r="H50" s="4" t="s">
        <v>60</v>
      </c>
    </row>
    <row r="51">
      <c r="A51" s="7"/>
      <c r="B51" s="7" t="s">
        <v>16</v>
      </c>
      <c r="C51" s="7"/>
      <c r="D51" s="7"/>
      <c r="E51" s="7" t="s">
        <v>125</v>
      </c>
      <c r="H51" s="4" t="s">
        <v>60</v>
      </c>
    </row>
    <row r="52">
      <c r="A52" s="7"/>
      <c r="B52" s="7" t="s">
        <v>16</v>
      </c>
      <c r="C52" s="7" t="s">
        <v>21</v>
      </c>
      <c r="D52" s="7"/>
      <c r="E52" s="7" t="s">
        <v>51</v>
      </c>
      <c r="F52" s="4" t="s">
        <v>25</v>
      </c>
      <c r="G52" s="4" t="s">
        <v>126</v>
      </c>
      <c r="H52" s="9"/>
    </row>
    <row r="53">
      <c r="A53" s="7" t="s">
        <v>19</v>
      </c>
      <c r="B53" s="7" t="s">
        <v>16</v>
      </c>
      <c r="C53" s="7"/>
      <c r="D53" s="7"/>
      <c r="E53" s="7" t="s">
        <v>127</v>
      </c>
      <c r="F53" s="4" t="s">
        <v>25</v>
      </c>
      <c r="G53" s="4" t="s">
        <v>26</v>
      </c>
      <c r="H53" s="9"/>
    </row>
    <row r="54">
      <c r="A54" s="7"/>
      <c r="B54" s="7" t="s">
        <v>16</v>
      </c>
      <c r="C54" s="7"/>
      <c r="D54" s="7"/>
      <c r="E54" s="7" t="s">
        <v>128</v>
      </c>
      <c r="F54" s="4" t="s">
        <v>129</v>
      </c>
      <c r="G54" s="4" t="s">
        <v>131</v>
      </c>
      <c r="H54" s="9"/>
    </row>
    <row r="55">
      <c r="A55" s="7"/>
      <c r="B55" s="7"/>
      <c r="C55" s="7"/>
      <c r="D55" s="7" t="s">
        <v>66</v>
      </c>
      <c r="E55" s="7" t="s">
        <v>132</v>
      </c>
      <c r="H55" s="4" t="s">
        <v>60</v>
      </c>
    </row>
    <row r="56">
      <c r="A56" s="7"/>
      <c r="B56" s="7"/>
      <c r="C56" s="7"/>
      <c r="D56" s="7" t="s">
        <v>66</v>
      </c>
      <c r="E56" s="7" t="s">
        <v>103</v>
      </c>
      <c r="H56" s="4" t="s">
        <v>60</v>
      </c>
    </row>
    <row r="57">
      <c r="A57" s="7"/>
      <c r="B57" s="7" t="s">
        <v>16</v>
      </c>
      <c r="C57" s="7"/>
      <c r="D57" s="7"/>
      <c r="E57" s="7" t="s">
        <v>104</v>
      </c>
      <c r="H57" s="4" t="s">
        <v>60</v>
      </c>
    </row>
    <row r="58">
      <c r="A58" s="7"/>
      <c r="B58" s="7"/>
      <c r="C58" s="7"/>
      <c r="D58" s="7" t="s">
        <v>66</v>
      </c>
      <c r="E58" s="7" t="s">
        <v>133</v>
      </c>
      <c r="H58" s="4" t="s">
        <v>60</v>
      </c>
    </row>
    <row r="59">
      <c r="A59" s="23" t="s">
        <v>19</v>
      </c>
      <c r="B59" s="23"/>
      <c r="C59" s="23"/>
      <c r="D59" s="23"/>
      <c r="E59" s="23" t="s">
        <v>134</v>
      </c>
      <c r="H59" s="4" t="s">
        <v>60</v>
      </c>
    </row>
    <row r="60">
      <c r="A60" s="1" t="s">
        <v>19</v>
      </c>
      <c r="E60" s="1" t="s">
        <v>135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1" t="s">
        <v>0</v>
      </c>
      <c r="B1" s="1" t="s">
        <v>3</v>
      </c>
      <c r="C1" s="1" t="s">
        <v>6</v>
      </c>
      <c r="D1" s="1" t="s">
        <v>2</v>
      </c>
      <c r="E1" s="1" t="s">
        <v>10</v>
      </c>
    </row>
    <row r="2">
      <c r="A2" s="3">
        <v>46206.0</v>
      </c>
      <c r="B2" s="4" t="s">
        <v>14</v>
      </c>
      <c r="C2" s="4" t="s">
        <v>16</v>
      </c>
      <c r="D2" s="4" t="s">
        <v>18</v>
      </c>
      <c r="E2" s="6">
        <v>2705.0</v>
      </c>
      <c r="F2" s="8">
        <v>46206.6108912037</v>
      </c>
    </row>
    <row r="3">
      <c r="A3" s="3">
        <v>46206.0</v>
      </c>
      <c r="B3" s="4" t="s">
        <v>14</v>
      </c>
      <c r="C3" s="4" t="s">
        <v>16</v>
      </c>
      <c r="D3" s="4" t="s">
        <v>22</v>
      </c>
      <c r="E3" s="6">
        <v>2661.0</v>
      </c>
      <c r="F3" s="8">
        <v>46206.6108912037</v>
      </c>
    </row>
    <row r="4">
      <c r="A4" s="3">
        <v>46206.0</v>
      </c>
      <c r="B4" s="4" t="s">
        <v>14</v>
      </c>
      <c r="C4" s="4" t="s">
        <v>16</v>
      </c>
      <c r="D4" s="4" t="s">
        <v>24</v>
      </c>
      <c r="E4" s="6">
        <v>7430.0</v>
      </c>
      <c r="F4" s="8">
        <v>46206.6108912037</v>
      </c>
    </row>
    <row r="5">
      <c r="A5" s="3">
        <v>46206.0</v>
      </c>
      <c r="B5" s="4" t="s">
        <v>14</v>
      </c>
      <c r="C5" s="4" t="s">
        <v>16</v>
      </c>
      <c r="D5" s="4" t="s">
        <v>28</v>
      </c>
      <c r="E5" s="6">
        <v>1780.0</v>
      </c>
      <c r="F5" s="8">
        <v>46206.6108912037</v>
      </c>
    </row>
    <row r="6">
      <c r="A6" s="3">
        <v>46206.0</v>
      </c>
      <c r="B6" s="4" t="s">
        <v>14</v>
      </c>
      <c r="C6" s="4" t="s">
        <v>16</v>
      </c>
      <c r="D6" s="4" t="s">
        <v>27</v>
      </c>
      <c r="E6" s="6">
        <v>79910.0</v>
      </c>
      <c r="F6" s="8">
        <v>46206.6108912037</v>
      </c>
    </row>
    <row r="7">
      <c r="A7" s="3">
        <v>46206.0</v>
      </c>
      <c r="B7" s="4" t="s">
        <v>14</v>
      </c>
      <c r="C7" s="4" t="s">
        <v>16</v>
      </c>
      <c r="D7" s="4" t="s">
        <v>33</v>
      </c>
      <c r="E7" s="6">
        <v>3215.0</v>
      </c>
      <c r="F7" s="8">
        <v>46206.6108912037</v>
      </c>
    </row>
    <row r="8">
      <c r="A8" s="3">
        <v>46206.0</v>
      </c>
      <c r="B8" s="4" t="s">
        <v>14</v>
      </c>
      <c r="C8" s="4" t="s">
        <v>16</v>
      </c>
      <c r="D8" s="4" t="s">
        <v>37</v>
      </c>
      <c r="E8" s="6">
        <v>5870.0</v>
      </c>
      <c r="F8" s="8">
        <v>46206.6108912037</v>
      </c>
    </row>
    <row r="9">
      <c r="A9" s="3">
        <v>46206.0</v>
      </c>
      <c r="B9" s="4" t="s">
        <v>14</v>
      </c>
      <c r="C9" s="4" t="s">
        <v>16</v>
      </c>
      <c r="D9" s="4" t="s">
        <v>39</v>
      </c>
      <c r="E9" s="6">
        <v>8480.0</v>
      </c>
      <c r="F9" s="8">
        <v>46206.6108912037</v>
      </c>
    </row>
    <row r="10">
      <c r="A10" s="3">
        <v>46206.0</v>
      </c>
      <c r="B10" s="4" t="s">
        <v>14</v>
      </c>
      <c r="C10" s="4" t="s">
        <v>16</v>
      </c>
      <c r="D10" s="4" t="s">
        <v>29</v>
      </c>
      <c r="E10" s="6">
        <v>1740.0</v>
      </c>
      <c r="F10" s="8">
        <v>46206.6108912037</v>
      </c>
    </row>
    <row r="11">
      <c r="A11" s="3">
        <v>46206.0</v>
      </c>
      <c r="B11" s="4" t="s">
        <v>14</v>
      </c>
      <c r="C11" s="4" t="s">
        <v>16</v>
      </c>
      <c r="D11" s="4" t="s">
        <v>43</v>
      </c>
      <c r="E11" s="6">
        <v>145.0</v>
      </c>
      <c r="F11" s="8">
        <v>46206.6108912037</v>
      </c>
    </row>
    <row r="12">
      <c r="A12" s="3">
        <v>46206.0</v>
      </c>
      <c r="B12" s="4" t="s">
        <v>14</v>
      </c>
      <c r="C12" s="4" t="s">
        <v>16</v>
      </c>
      <c r="D12" s="4" t="s">
        <v>32</v>
      </c>
      <c r="E12" s="6">
        <v>32.0</v>
      </c>
      <c r="F12" s="8">
        <v>46206.6108912037</v>
      </c>
    </row>
    <row r="13">
      <c r="A13" s="3">
        <v>46206.0</v>
      </c>
      <c r="B13" s="4" t="s">
        <v>14</v>
      </c>
      <c r="C13" s="4" t="s">
        <v>16</v>
      </c>
      <c r="D13" s="4" t="s">
        <v>46</v>
      </c>
      <c r="E13" s="6">
        <v>47.0</v>
      </c>
      <c r="F13" s="8">
        <v>46206.6108912037</v>
      </c>
    </row>
    <row r="14">
      <c r="A14" s="3">
        <v>46206.0</v>
      </c>
      <c r="B14" s="4" t="s">
        <v>14</v>
      </c>
      <c r="C14" s="4" t="s">
        <v>16</v>
      </c>
      <c r="D14" s="4" t="s">
        <v>50</v>
      </c>
      <c r="E14" s="6">
        <v>23.0</v>
      </c>
      <c r="F14" s="8">
        <v>46206.6108912037</v>
      </c>
    </row>
    <row r="15">
      <c r="A15" s="3">
        <v>46206.0</v>
      </c>
      <c r="B15" s="4" t="s">
        <v>14</v>
      </c>
      <c r="C15" s="4" t="s">
        <v>16</v>
      </c>
      <c r="D15" s="4" t="s">
        <v>36</v>
      </c>
      <c r="E15" s="6">
        <v>15.0</v>
      </c>
      <c r="F15" s="8">
        <v>46206.6108912037</v>
      </c>
    </row>
    <row r="16">
      <c r="A16" s="3">
        <v>46206.0</v>
      </c>
      <c r="B16" s="4" t="s">
        <v>14</v>
      </c>
      <c r="C16" s="4" t="s">
        <v>16</v>
      </c>
      <c r="D16" s="4" t="s">
        <v>38</v>
      </c>
      <c r="E16" s="6">
        <v>48.0</v>
      </c>
      <c r="F16" s="8">
        <v>46206.6108912037</v>
      </c>
    </row>
    <row r="17">
      <c r="A17" s="3">
        <v>46206.0</v>
      </c>
      <c r="B17" s="4" t="s">
        <v>14</v>
      </c>
      <c r="C17" s="4" t="s">
        <v>16</v>
      </c>
      <c r="D17" s="4" t="s">
        <v>55</v>
      </c>
      <c r="E17" s="6">
        <v>23.0</v>
      </c>
      <c r="F17" s="8">
        <v>46206.6108912037</v>
      </c>
    </row>
    <row r="18">
      <c r="A18" s="3">
        <v>46206.0</v>
      </c>
      <c r="B18" s="4" t="s">
        <v>14</v>
      </c>
      <c r="C18" s="4" t="s">
        <v>16</v>
      </c>
      <c r="D18" s="4" t="s">
        <v>41</v>
      </c>
      <c r="E18" s="6">
        <v>10978.0</v>
      </c>
      <c r="F18" s="8">
        <v>46206.6108912037</v>
      </c>
    </row>
    <row r="19">
      <c r="A19" s="3">
        <v>46206.0</v>
      </c>
      <c r="B19" s="4" t="s">
        <v>14</v>
      </c>
      <c r="C19" s="4" t="s">
        <v>16</v>
      </c>
      <c r="D19" s="4" t="s">
        <v>59</v>
      </c>
      <c r="E19" s="6">
        <v>34.0</v>
      </c>
      <c r="F19" s="8">
        <v>46206.6108912037</v>
      </c>
    </row>
    <row r="20">
      <c r="A20" s="3">
        <v>46206.0</v>
      </c>
      <c r="B20" s="4" t="s">
        <v>14</v>
      </c>
      <c r="C20" s="4" t="s">
        <v>16</v>
      </c>
      <c r="D20" s="4" t="s">
        <v>42</v>
      </c>
      <c r="E20" s="6">
        <v>1.0</v>
      </c>
      <c r="F20" s="8">
        <v>46206.6108912037</v>
      </c>
    </row>
    <row r="21">
      <c r="A21" s="3">
        <v>46206.0</v>
      </c>
      <c r="B21" s="4" t="s">
        <v>14</v>
      </c>
      <c r="C21" s="4" t="s">
        <v>16</v>
      </c>
      <c r="D21" s="4" t="s">
        <v>62</v>
      </c>
      <c r="E21" s="6">
        <v>5.0</v>
      </c>
      <c r="F21" s="8">
        <v>46206.6108912037</v>
      </c>
    </row>
    <row r="22">
      <c r="A22" s="3">
        <v>46206.0</v>
      </c>
      <c r="B22" s="4" t="s">
        <v>14</v>
      </c>
      <c r="C22" s="4" t="s">
        <v>16</v>
      </c>
      <c r="D22" s="4" t="s">
        <v>64</v>
      </c>
      <c r="E22" s="6">
        <v>7.0</v>
      </c>
      <c r="F22" s="8">
        <v>46206.6108912037</v>
      </c>
    </row>
    <row r="23">
      <c r="A23" s="3">
        <v>46206.0</v>
      </c>
      <c r="B23" s="4" t="s">
        <v>14</v>
      </c>
      <c r="C23" s="4" t="s">
        <v>66</v>
      </c>
      <c r="D23" s="4" t="s">
        <v>44</v>
      </c>
      <c r="E23" s="6">
        <v>74.0</v>
      </c>
      <c r="F23" s="8">
        <v>46206.6108912037</v>
      </c>
    </row>
    <row r="24">
      <c r="A24" s="3">
        <v>46206.0</v>
      </c>
      <c r="B24" s="4" t="s">
        <v>14</v>
      </c>
      <c r="C24" s="4" t="s">
        <v>66</v>
      </c>
      <c r="D24" s="4" t="s">
        <v>69</v>
      </c>
      <c r="E24" s="6">
        <v>57.0</v>
      </c>
      <c r="F24" s="8">
        <v>46206.6108912037</v>
      </c>
    </row>
    <row r="25">
      <c r="A25" s="3">
        <v>46206.0</v>
      </c>
      <c r="B25" s="4" t="s">
        <v>14</v>
      </c>
      <c r="C25" s="4" t="s">
        <v>66</v>
      </c>
      <c r="D25" s="4" t="s">
        <v>73</v>
      </c>
      <c r="E25" s="6">
        <v>263.0</v>
      </c>
      <c r="F25" s="8">
        <v>46206.6108912037</v>
      </c>
    </row>
    <row r="26">
      <c r="A26" s="3">
        <v>46206.0</v>
      </c>
      <c r="B26" s="4" t="s">
        <v>14</v>
      </c>
      <c r="C26" s="4" t="s">
        <v>66</v>
      </c>
      <c r="D26" s="4" t="s">
        <v>77</v>
      </c>
      <c r="E26" s="6">
        <v>6.0</v>
      </c>
      <c r="F26" s="8">
        <v>46206.6108912037</v>
      </c>
    </row>
    <row r="27">
      <c r="A27" s="3">
        <v>46206.0</v>
      </c>
      <c r="B27" s="4" t="s">
        <v>14</v>
      </c>
      <c r="C27" s="4" t="s">
        <v>66</v>
      </c>
      <c r="D27" s="4" t="s">
        <v>79</v>
      </c>
      <c r="E27" s="6">
        <v>228.0</v>
      </c>
      <c r="F27" s="8">
        <v>46206.6108912037</v>
      </c>
    </row>
    <row r="28">
      <c r="A28" s="3">
        <v>46206.0</v>
      </c>
      <c r="B28" s="4" t="s">
        <v>14</v>
      </c>
      <c r="C28" s="4" t="s">
        <v>16</v>
      </c>
      <c r="D28" s="4" t="s">
        <v>84</v>
      </c>
      <c r="E28" s="6">
        <v>5.0</v>
      </c>
      <c r="F28" s="8">
        <v>46206.6108912037</v>
      </c>
    </row>
    <row r="29">
      <c r="A29" s="3">
        <v>46206.0</v>
      </c>
      <c r="B29" s="4" t="s">
        <v>14</v>
      </c>
      <c r="C29" s="4" t="s">
        <v>66</v>
      </c>
      <c r="D29" s="4" t="s">
        <v>88</v>
      </c>
      <c r="E29" s="6">
        <v>69.0</v>
      </c>
      <c r="F29" s="8">
        <v>46206.6108912037</v>
      </c>
    </row>
    <row r="30">
      <c r="A30" s="3">
        <v>46206.0</v>
      </c>
      <c r="B30" s="4" t="s">
        <v>14</v>
      </c>
      <c r="C30" s="4" t="s">
        <v>66</v>
      </c>
      <c r="D30" s="4" t="s">
        <v>90</v>
      </c>
      <c r="E30" s="6">
        <v>22.0</v>
      </c>
      <c r="F30" s="8">
        <v>46206.6108912037</v>
      </c>
    </row>
    <row r="31">
      <c r="A31" s="3">
        <v>46206.0</v>
      </c>
      <c r="B31" s="4" t="s">
        <v>14</v>
      </c>
      <c r="C31" s="4" t="s">
        <v>66</v>
      </c>
      <c r="D31" s="4" t="s">
        <v>92</v>
      </c>
      <c r="E31" s="6">
        <v>9.0</v>
      </c>
      <c r="F31" s="8">
        <v>46206.6108912037</v>
      </c>
    </row>
    <row r="32">
      <c r="A32" s="3">
        <v>46206.0</v>
      </c>
      <c r="B32" s="4" t="s">
        <v>14</v>
      </c>
      <c r="C32" s="4" t="s">
        <v>66</v>
      </c>
      <c r="D32" s="4" t="s">
        <v>93</v>
      </c>
      <c r="E32" s="6">
        <v>73.0</v>
      </c>
      <c r="F32" s="8">
        <v>46206.6108912037</v>
      </c>
    </row>
    <row r="33">
      <c r="A33" s="3">
        <v>46206.0</v>
      </c>
      <c r="B33" s="4" t="s">
        <v>14</v>
      </c>
      <c r="C33" s="4" t="s">
        <v>66</v>
      </c>
      <c r="D33" s="4" t="s">
        <v>94</v>
      </c>
      <c r="E33" s="6">
        <v>28.0</v>
      </c>
      <c r="F33" s="8">
        <v>46206.6108912037</v>
      </c>
    </row>
    <row r="34">
      <c r="A34" s="3">
        <v>46206.0</v>
      </c>
      <c r="B34" s="4" t="s">
        <v>14</v>
      </c>
      <c r="C34" s="4" t="s">
        <v>66</v>
      </c>
      <c r="D34" s="4" t="s">
        <v>45</v>
      </c>
      <c r="E34" s="6">
        <v>18.0</v>
      </c>
      <c r="F34" s="8">
        <v>46206.6108912037</v>
      </c>
    </row>
    <row r="35">
      <c r="A35" s="3">
        <v>46206.0</v>
      </c>
      <c r="B35" s="4" t="s">
        <v>14</v>
      </c>
      <c r="C35" s="4" t="s">
        <v>66</v>
      </c>
      <c r="D35" s="4" t="s">
        <v>95</v>
      </c>
      <c r="E35" s="6">
        <v>24.0</v>
      </c>
      <c r="F35" s="8">
        <v>46206.6108912037</v>
      </c>
    </row>
    <row r="36">
      <c r="A36" s="3">
        <v>46206.0</v>
      </c>
      <c r="B36" s="4" t="s">
        <v>14</v>
      </c>
      <c r="C36" s="4" t="s">
        <v>66</v>
      </c>
      <c r="D36" s="4" t="s">
        <v>96</v>
      </c>
      <c r="E36" s="6">
        <v>33.0</v>
      </c>
      <c r="F36" s="8">
        <v>46206.6108912037</v>
      </c>
    </row>
    <row r="37">
      <c r="A37" s="3">
        <v>46206.0</v>
      </c>
      <c r="B37" s="4" t="s">
        <v>14</v>
      </c>
      <c r="C37" s="4" t="s">
        <v>66</v>
      </c>
      <c r="D37" s="4" t="s">
        <v>49</v>
      </c>
      <c r="E37" s="6">
        <v>2.0</v>
      </c>
      <c r="F37" s="8">
        <v>46206.6108912037</v>
      </c>
    </row>
    <row r="38">
      <c r="A38" s="3">
        <v>46206.0</v>
      </c>
      <c r="B38" s="4" t="s">
        <v>14</v>
      </c>
      <c r="C38" s="4" t="s">
        <v>66</v>
      </c>
      <c r="D38" s="4" t="s">
        <v>97</v>
      </c>
      <c r="E38" s="6">
        <v>20.0</v>
      </c>
      <c r="F38" s="8">
        <v>46206.6108912037</v>
      </c>
    </row>
    <row r="39">
      <c r="A39" s="3">
        <v>46206.0</v>
      </c>
      <c r="B39" s="4" t="s">
        <v>14</v>
      </c>
      <c r="C39" s="4" t="s">
        <v>66</v>
      </c>
      <c r="D39" s="4" t="s">
        <v>98</v>
      </c>
      <c r="E39" s="6">
        <v>40.0</v>
      </c>
      <c r="F39" s="8">
        <v>46206.6108912037</v>
      </c>
    </row>
    <row r="40">
      <c r="A40" s="3">
        <v>46206.0</v>
      </c>
      <c r="B40" s="4" t="s">
        <v>14</v>
      </c>
      <c r="C40" s="4" t="s">
        <v>66</v>
      </c>
      <c r="D40" s="4" t="s">
        <v>99</v>
      </c>
      <c r="E40" s="6">
        <v>19.0</v>
      </c>
      <c r="F40" s="8">
        <v>46206.6108912037</v>
      </c>
    </row>
    <row r="41">
      <c r="A41" s="3">
        <v>46206.0</v>
      </c>
      <c r="B41" s="4" t="s">
        <v>14</v>
      </c>
      <c r="C41" s="4" t="s">
        <v>66</v>
      </c>
      <c r="D41" s="4" t="s">
        <v>100</v>
      </c>
      <c r="E41" s="6">
        <v>19.0</v>
      </c>
      <c r="F41" s="8">
        <v>46206.6108912037</v>
      </c>
    </row>
    <row r="42">
      <c r="A42" s="3">
        <v>46206.0</v>
      </c>
      <c r="B42" s="4" t="s">
        <v>14</v>
      </c>
      <c r="C42" s="4" t="s">
        <v>66</v>
      </c>
      <c r="D42" s="4" t="s">
        <v>101</v>
      </c>
      <c r="E42" s="6">
        <v>1.0</v>
      </c>
      <c r="F42" s="8">
        <v>46206.6108912037</v>
      </c>
    </row>
    <row r="43">
      <c r="A43" s="3">
        <v>46206.0</v>
      </c>
      <c r="B43" s="4" t="s">
        <v>14</v>
      </c>
      <c r="C43" s="4" t="s">
        <v>16</v>
      </c>
      <c r="D43" s="4" t="s">
        <v>102</v>
      </c>
      <c r="E43" s="6">
        <v>165.0</v>
      </c>
      <c r="F43" s="8">
        <v>46206.6108912037</v>
      </c>
    </row>
    <row r="44">
      <c r="A44" s="3">
        <v>46206.0</v>
      </c>
      <c r="B44" s="4" t="s">
        <v>14</v>
      </c>
      <c r="C44" s="4" t="s">
        <v>16</v>
      </c>
      <c r="D44" s="4" t="s">
        <v>51</v>
      </c>
      <c r="E44" s="6">
        <v>4718.0</v>
      </c>
      <c r="F44" s="8">
        <v>46206.6108912037</v>
      </c>
    </row>
    <row r="45">
      <c r="A45" s="3">
        <v>46206.0</v>
      </c>
      <c r="B45" s="4" t="s">
        <v>14</v>
      </c>
      <c r="C45" s="4" t="s">
        <v>66</v>
      </c>
      <c r="D45" s="4" t="s">
        <v>103</v>
      </c>
      <c r="E45" s="6">
        <v>11.0</v>
      </c>
      <c r="F45" s="8">
        <v>46206.6108912037</v>
      </c>
    </row>
    <row r="46">
      <c r="A46" s="3">
        <v>46206.0</v>
      </c>
      <c r="B46" s="4" t="s">
        <v>14</v>
      </c>
      <c r="C46" s="4" t="s">
        <v>16</v>
      </c>
      <c r="D46" s="4" t="s">
        <v>104</v>
      </c>
      <c r="E46" s="6">
        <v>5.0</v>
      </c>
      <c r="F46" s="8">
        <v>46206.6108912037</v>
      </c>
    </row>
    <row r="47">
      <c r="A47" s="3">
        <v>46207.0</v>
      </c>
      <c r="B47" s="4" t="s">
        <v>14</v>
      </c>
      <c r="C47" s="4" t="s">
        <v>16</v>
      </c>
      <c r="D47" s="4" t="s">
        <v>18</v>
      </c>
      <c r="E47" s="6">
        <v>2310.0</v>
      </c>
      <c r="F47" s="8">
        <v>46207.644224537034</v>
      </c>
    </row>
    <row r="48">
      <c r="A48" s="3">
        <v>46207.0</v>
      </c>
      <c r="B48" s="4" t="s">
        <v>14</v>
      </c>
      <c r="C48" s="4" t="s">
        <v>16</v>
      </c>
      <c r="D48" s="4" t="s">
        <v>22</v>
      </c>
      <c r="E48" s="6">
        <v>2601.0</v>
      </c>
      <c r="F48" s="8">
        <v>46207.644224537034</v>
      </c>
    </row>
    <row r="49">
      <c r="A49" s="3">
        <v>46207.0</v>
      </c>
      <c r="B49" s="4" t="s">
        <v>14</v>
      </c>
      <c r="C49" s="4" t="s">
        <v>16</v>
      </c>
      <c r="D49" s="4" t="s">
        <v>24</v>
      </c>
      <c r="E49" s="6">
        <v>11800.0</v>
      </c>
      <c r="F49" s="8">
        <v>46207.644224537034</v>
      </c>
    </row>
    <row r="50">
      <c r="A50" s="3">
        <v>46207.0</v>
      </c>
      <c r="B50" s="4" t="s">
        <v>14</v>
      </c>
      <c r="C50" s="4" t="s">
        <v>16</v>
      </c>
      <c r="D50" s="4" t="s">
        <v>28</v>
      </c>
      <c r="E50" s="6">
        <v>1318.0</v>
      </c>
      <c r="F50" s="8">
        <v>46207.644224537034</v>
      </c>
    </row>
    <row r="51">
      <c r="A51" s="3">
        <v>46207.0</v>
      </c>
      <c r="B51" s="4" t="s">
        <v>14</v>
      </c>
      <c r="C51" s="4" t="s">
        <v>16</v>
      </c>
      <c r="D51" s="4" t="s">
        <v>27</v>
      </c>
      <c r="E51" s="6">
        <v>175375.0</v>
      </c>
      <c r="F51" s="8">
        <v>46207.644224537034</v>
      </c>
    </row>
    <row r="52">
      <c r="A52" s="3">
        <v>46207.0</v>
      </c>
      <c r="B52" s="4" t="s">
        <v>14</v>
      </c>
      <c r="C52" s="4" t="s">
        <v>16</v>
      </c>
      <c r="D52" s="4" t="s">
        <v>33</v>
      </c>
      <c r="E52" s="6">
        <v>2350.0</v>
      </c>
      <c r="F52" s="8">
        <v>46207.644224537034</v>
      </c>
    </row>
    <row r="53">
      <c r="A53" s="3">
        <v>46207.0</v>
      </c>
      <c r="B53" s="4" t="s">
        <v>14</v>
      </c>
      <c r="C53" s="4" t="s">
        <v>16</v>
      </c>
      <c r="D53" s="4" t="s">
        <v>37</v>
      </c>
      <c r="E53" s="6">
        <v>5485.0</v>
      </c>
      <c r="F53" s="8">
        <v>46207.644224537034</v>
      </c>
    </row>
    <row r="54">
      <c r="A54" s="3">
        <v>46207.0</v>
      </c>
      <c r="B54" s="4" t="s">
        <v>14</v>
      </c>
      <c r="C54" s="4" t="s">
        <v>16</v>
      </c>
      <c r="D54" s="4" t="s">
        <v>48</v>
      </c>
      <c r="E54" s="6">
        <v>249.0</v>
      </c>
      <c r="F54" s="8">
        <v>46207.644224537034</v>
      </c>
    </row>
    <row r="55">
      <c r="A55" s="3">
        <v>46207.0</v>
      </c>
      <c r="B55" s="4" t="s">
        <v>14</v>
      </c>
      <c r="C55" s="4" t="s">
        <v>16</v>
      </c>
      <c r="D55" s="4" t="s">
        <v>39</v>
      </c>
      <c r="E55" s="6">
        <v>5760.0</v>
      </c>
      <c r="F55" s="8">
        <v>46207.644224537034</v>
      </c>
    </row>
    <row r="56">
      <c r="A56" s="3">
        <v>46207.0</v>
      </c>
      <c r="B56" s="4" t="s">
        <v>14</v>
      </c>
      <c r="C56" s="4" t="s">
        <v>16</v>
      </c>
      <c r="D56" s="4" t="s">
        <v>29</v>
      </c>
      <c r="E56" s="6">
        <v>3195.0</v>
      </c>
      <c r="F56" s="8">
        <v>46207.644224537034</v>
      </c>
    </row>
    <row r="57">
      <c r="A57" s="3">
        <v>46207.0</v>
      </c>
      <c r="B57" s="4" t="s">
        <v>14</v>
      </c>
      <c r="C57" s="4" t="s">
        <v>16</v>
      </c>
      <c r="D57" s="4" t="s">
        <v>32</v>
      </c>
      <c r="E57" s="6">
        <v>66.0</v>
      </c>
      <c r="F57" s="8">
        <v>46207.644224537034</v>
      </c>
    </row>
    <row r="58">
      <c r="A58" s="3">
        <v>46207.0</v>
      </c>
      <c r="B58" s="4" t="s">
        <v>14</v>
      </c>
      <c r="C58" s="4" t="s">
        <v>16</v>
      </c>
      <c r="D58" s="4" t="s">
        <v>46</v>
      </c>
      <c r="E58" s="6">
        <v>20.0</v>
      </c>
      <c r="F58" s="8">
        <v>46207.644224537034</v>
      </c>
    </row>
    <row r="59">
      <c r="A59" s="3">
        <v>46207.0</v>
      </c>
      <c r="B59" s="4" t="s">
        <v>14</v>
      </c>
      <c r="C59" s="4" t="s">
        <v>16</v>
      </c>
      <c r="D59" s="4" t="s">
        <v>50</v>
      </c>
      <c r="E59" s="6">
        <v>10.0</v>
      </c>
      <c r="F59" s="8">
        <v>46207.644224537034</v>
      </c>
    </row>
    <row r="60">
      <c r="A60" s="3">
        <v>46207.0</v>
      </c>
      <c r="B60" s="4" t="s">
        <v>14</v>
      </c>
      <c r="C60" s="4" t="s">
        <v>16</v>
      </c>
      <c r="D60" s="4" t="s">
        <v>36</v>
      </c>
      <c r="E60" s="6">
        <v>19.0</v>
      </c>
      <c r="F60" s="8">
        <v>46207.644224537034</v>
      </c>
    </row>
    <row r="61">
      <c r="A61" s="3">
        <v>46207.0</v>
      </c>
      <c r="B61" s="4" t="s">
        <v>14</v>
      </c>
      <c r="C61" s="4" t="s">
        <v>16</v>
      </c>
      <c r="D61" s="4" t="s">
        <v>38</v>
      </c>
      <c r="E61" s="6">
        <v>49.0</v>
      </c>
      <c r="F61" s="8">
        <v>46207.644224537034</v>
      </c>
    </row>
    <row r="62">
      <c r="A62" s="3">
        <v>46207.0</v>
      </c>
      <c r="B62" s="4" t="s">
        <v>14</v>
      </c>
      <c r="C62" s="4" t="s">
        <v>16</v>
      </c>
      <c r="D62" s="4" t="s">
        <v>55</v>
      </c>
      <c r="E62" s="6">
        <v>20.0</v>
      </c>
      <c r="F62" s="8">
        <v>46207.644224537034</v>
      </c>
    </row>
    <row r="63">
      <c r="A63" s="3">
        <v>46207.0</v>
      </c>
      <c r="B63" s="4" t="s">
        <v>14</v>
      </c>
      <c r="C63" s="4" t="s">
        <v>16</v>
      </c>
      <c r="D63" s="4" t="s">
        <v>41</v>
      </c>
      <c r="E63" s="6">
        <v>12587.0</v>
      </c>
      <c r="F63" s="8">
        <v>46207.644224537034</v>
      </c>
    </row>
    <row r="64">
      <c r="A64" s="3">
        <v>46207.0</v>
      </c>
      <c r="B64" s="4" t="s">
        <v>14</v>
      </c>
      <c r="C64" s="4" t="s">
        <v>16</v>
      </c>
      <c r="D64" s="4" t="s">
        <v>59</v>
      </c>
      <c r="E64" s="6">
        <v>24.0</v>
      </c>
      <c r="F64" s="8">
        <v>46207.644224537034</v>
      </c>
    </row>
    <row r="65">
      <c r="A65" s="3">
        <v>46207.0</v>
      </c>
      <c r="B65" s="4" t="s">
        <v>14</v>
      </c>
      <c r="C65" s="4" t="s">
        <v>16</v>
      </c>
      <c r="D65" s="4" t="s">
        <v>42</v>
      </c>
      <c r="E65" s="6">
        <v>8.0</v>
      </c>
      <c r="F65" s="8">
        <v>46207.644224537034</v>
      </c>
    </row>
    <row r="66">
      <c r="A66" s="3">
        <v>46207.0</v>
      </c>
      <c r="B66" s="4" t="s">
        <v>14</v>
      </c>
      <c r="C66" s="4" t="s">
        <v>16</v>
      </c>
      <c r="D66" s="4" t="s">
        <v>62</v>
      </c>
      <c r="E66" s="6">
        <v>2.0</v>
      </c>
      <c r="F66" s="8">
        <v>46207.644224537034</v>
      </c>
    </row>
    <row r="67">
      <c r="A67" s="3">
        <v>46207.0</v>
      </c>
      <c r="B67" s="4" t="s">
        <v>14</v>
      </c>
      <c r="C67" s="4" t="s">
        <v>16</v>
      </c>
      <c r="D67" s="4" t="s">
        <v>64</v>
      </c>
      <c r="E67" s="6">
        <v>7.0</v>
      </c>
      <c r="F67" s="8">
        <v>46207.644224537034</v>
      </c>
    </row>
    <row r="68">
      <c r="A68" s="3">
        <v>46207.0</v>
      </c>
      <c r="B68" s="4" t="s">
        <v>14</v>
      </c>
      <c r="C68" s="4" t="s">
        <v>66</v>
      </c>
      <c r="D68" s="4" t="s">
        <v>44</v>
      </c>
      <c r="E68" s="6">
        <v>95.0</v>
      </c>
      <c r="F68" s="8">
        <v>46207.644224537034</v>
      </c>
    </row>
    <row r="69">
      <c r="A69" s="3">
        <v>46207.0</v>
      </c>
      <c r="B69" s="4" t="s">
        <v>14</v>
      </c>
      <c r="C69" s="4" t="s">
        <v>66</v>
      </c>
      <c r="D69" s="4" t="s">
        <v>69</v>
      </c>
      <c r="E69" s="6">
        <v>53.0</v>
      </c>
      <c r="F69" s="8">
        <v>46207.644224537034</v>
      </c>
    </row>
    <row r="70">
      <c r="A70" s="3">
        <v>46207.0</v>
      </c>
      <c r="B70" s="4" t="s">
        <v>14</v>
      </c>
      <c r="C70" s="4" t="s">
        <v>66</v>
      </c>
      <c r="D70" s="4" t="s">
        <v>73</v>
      </c>
      <c r="E70" s="6">
        <v>247.0</v>
      </c>
      <c r="F70" s="8">
        <v>46207.644224537034</v>
      </c>
    </row>
    <row r="71">
      <c r="A71" s="3">
        <v>46207.0</v>
      </c>
      <c r="B71" s="4" t="s">
        <v>14</v>
      </c>
      <c r="C71" s="4" t="s">
        <v>66</v>
      </c>
      <c r="D71" s="4" t="s">
        <v>77</v>
      </c>
      <c r="E71" s="6">
        <v>3.0</v>
      </c>
      <c r="F71" s="8">
        <v>46207.644224537034</v>
      </c>
    </row>
    <row r="72">
      <c r="A72" s="3">
        <v>46207.0</v>
      </c>
      <c r="B72" s="4" t="s">
        <v>14</v>
      </c>
      <c r="C72" s="4" t="s">
        <v>66</v>
      </c>
      <c r="D72" s="4" t="s">
        <v>79</v>
      </c>
      <c r="E72" s="6">
        <v>211.0</v>
      </c>
      <c r="F72" s="8">
        <v>46207.644224537034</v>
      </c>
    </row>
    <row r="73">
      <c r="A73" s="3">
        <v>46207.0</v>
      </c>
      <c r="B73" s="4" t="s">
        <v>14</v>
      </c>
      <c r="C73" s="4" t="s">
        <v>16</v>
      </c>
      <c r="D73" s="4" t="s">
        <v>84</v>
      </c>
      <c r="E73" s="6">
        <v>2.0</v>
      </c>
      <c r="F73" s="8">
        <v>46207.644224537034</v>
      </c>
    </row>
    <row r="74">
      <c r="A74" s="3">
        <v>46207.0</v>
      </c>
      <c r="B74" s="4" t="s">
        <v>14</v>
      </c>
      <c r="C74" s="4" t="s">
        <v>66</v>
      </c>
      <c r="D74" s="4" t="s">
        <v>88</v>
      </c>
      <c r="E74" s="6">
        <v>68.0</v>
      </c>
      <c r="F74" s="8">
        <v>46207.644224537034</v>
      </c>
    </row>
    <row r="75">
      <c r="A75" s="3">
        <v>46207.0</v>
      </c>
      <c r="B75" s="4" t="s">
        <v>14</v>
      </c>
      <c r="C75" s="4" t="s">
        <v>66</v>
      </c>
      <c r="D75" s="4" t="s">
        <v>90</v>
      </c>
      <c r="E75" s="6">
        <v>21.0</v>
      </c>
      <c r="F75" s="8">
        <v>46207.644224537034</v>
      </c>
    </row>
    <row r="76">
      <c r="A76" s="3">
        <v>46207.0</v>
      </c>
      <c r="B76" s="4" t="s">
        <v>14</v>
      </c>
      <c r="C76" s="4" t="s">
        <v>66</v>
      </c>
      <c r="D76" s="4" t="s">
        <v>92</v>
      </c>
      <c r="E76" s="6">
        <v>9.0</v>
      </c>
      <c r="F76" s="8">
        <v>46207.644224537034</v>
      </c>
    </row>
    <row r="77">
      <c r="A77" s="3">
        <v>46207.0</v>
      </c>
      <c r="B77" s="4" t="s">
        <v>14</v>
      </c>
      <c r="C77" s="4" t="s">
        <v>66</v>
      </c>
      <c r="D77" s="4" t="s">
        <v>93</v>
      </c>
      <c r="E77" s="6">
        <v>72.0</v>
      </c>
      <c r="F77" s="8">
        <v>46207.644224537034</v>
      </c>
    </row>
    <row r="78">
      <c r="A78" s="3">
        <v>46207.0</v>
      </c>
      <c r="B78" s="4" t="s">
        <v>14</v>
      </c>
      <c r="C78" s="4" t="s">
        <v>66</v>
      </c>
      <c r="D78" s="4" t="s">
        <v>94</v>
      </c>
      <c r="E78" s="6">
        <v>28.0</v>
      </c>
      <c r="F78" s="8">
        <v>46207.644224537034</v>
      </c>
    </row>
    <row r="79">
      <c r="A79" s="3">
        <v>46207.0</v>
      </c>
      <c r="B79" s="4" t="s">
        <v>14</v>
      </c>
      <c r="C79" s="4" t="s">
        <v>66</v>
      </c>
      <c r="D79" s="4" t="s">
        <v>45</v>
      </c>
      <c r="E79" s="6">
        <v>38.0</v>
      </c>
      <c r="F79" s="8">
        <v>46207.644224537034</v>
      </c>
    </row>
    <row r="80">
      <c r="A80" s="3">
        <v>46207.0</v>
      </c>
      <c r="B80" s="4" t="s">
        <v>14</v>
      </c>
      <c r="C80" s="4" t="s">
        <v>16</v>
      </c>
      <c r="D80" s="4" t="s">
        <v>47</v>
      </c>
      <c r="E80" s="6">
        <v>31.0</v>
      </c>
      <c r="F80" s="8">
        <v>46207.644224537034</v>
      </c>
    </row>
    <row r="81">
      <c r="A81" s="3">
        <v>46207.0</v>
      </c>
      <c r="B81" s="4" t="s">
        <v>14</v>
      </c>
      <c r="C81" s="4" t="s">
        <v>66</v>
      </c>
      <c r="D81" s="4" t="s">
        <v>95</v>
      </c>
      <c r="E81" s="6">
        <v>24.0</v>
      </c>
      <c r="F81" s="8">
        <v>46207.644224537034</v>
      </c>
    </row>
    <row r="82">
      <c r="A82" s="3">
        <v>46207.0</v>
      </c>
      <c r="B82" s="4" t="s">
        <v>14</v>
      </c>
      <c r="C82" s="4" t="s">
        <v>66</v>
      </c>
      <c r="D82" s="4" t="s">
        <v>96</v>
      </c>
      <c r="E82" s="6">
        <v>31.0</v>
      </c>
      <c r="F82" s="8">
        <v>46207.644224537034</v>
      </c>
    </row>
    <row r="83">
      <c r="A83" s="3">
        <v>46207.0</v>
      </c>
      <c r="B83" s="4" t="s">
        <v>14</v>
      </c>
      <c r="C83" s="4" t="s">
        <v>66</v>
      </c>
      <c r="D83" s="4" t="s">
        <v>49</v>
      </c>
      <c r="E83" s="6">
        <v>12.0</v>
      </c>
      <c r="F83" s="8">
        <v>46207.644224537034</v>
      </c>
    </row>
    <row r="84">
      <c r="A84" s="3">
        <v>46207.0</v>
      </c>
      <c r="B84" s="4" t="s">
        <v>14</v>
      </c>
      <c r="C84" s="4" t="s">
        <v>66</v>
      </c>
      <c r="D84" s="4" t="s">
        <v>97</v>
      </c>
      <c r="E84" s="6">
        <v>20.0</v>
      </c>
      <c r="F84" s="8">
        <v>46207.644224537034</v>
      </c>
    </row>
    <row r="85">
      <c r="A85" s="3">
        <v>46207.0</v>
      </c>
      <c r="B85" s="4" t="s">
        <v>14</v>
      </c>
      <c r="C85" s="4" t="s">
        <v>66</v>
      </c>
      <c r="D85" s="4" t="s">
        <v>98</v>
      </c>
      <c r="E85" s="6">
        <v>37.0</v>
      </c>
      <c r="F85" s="8">
        <v>46207.644224537034</v>
      </c>
    </row>
    <row r="86">
      <c r="A86" s="3">
        <v>46207.0</v>
      </c>
      <c r="B86" s="4" t="s">
        <v>14</v>
      </c>
      <c r="C86" s="4" t="s">
        <v>66</v>
      </c>
      <c r="D86" s="4" t="s">
        <v>99</v>
      </c>
      <c r="E86" s="6">
        <v>14.0</v>
      </c>
      <c r="F86" s="8">
        <v>46207.644224537034</v>
      </c>
    </row>
    <row r="87">
      <c r="A87" s="3">
        <v>46207.0</v>
      </c>
      <c r="B87" s="4" t="s">
        <v>14</v>
      </c>
      <c r="C87" s="4" t="s">
        <v>66</v>
      </c>
      <c r="D87" s="4" t="s">
        <v>100</v>
      </c>
      <c r="E87" s="6">
        <v>19.0</v>
      </c>
      <c r="F87" s="8">
        <v>46207.644224537034</v>
      </c>
    </row>
    <row r="88">
      <c r="A88" s="3">
        <v>46207.0</v>
      </c>
      <c r="B88" s="4" t="s">
        <v>14</v>
      </c>
      <c r="C88" s="4" t="s">
        <v>16</v>
      </c>
      <c r="D88" s="4" t="s">
        <v>102</v>
      </c>
      <c r="E88" s="6">
        <v>155.0</v>
      </c>
      <c r="F88" s="8">
        <v>46207.644224537034</v>
      </c>
    </row>
    <row r="89">
      <c r="A89" s="3">
        <v>46207.0</v>
      </c>
      <c r="B89" s="4" t="s">
        <v>14</v>
      </c>
      <c r="C89" s="4" t="s">
        <v>16</v>
      </c>
      <c r="D89" s="4" t="s">
        <v>125</v>
      </c>
      <c r="E89" s="6">
        <v>7.0</v>
      </c>
      <c r="F89" s="8">
        <v>46207.644224537034</v>
      </c>
    </row>
    <row r="90">
      <c r="A90" s="3">
        <v>46207.0</v>
      </c>
      <c r="B90" s="4" t="s">
        <v>14</v>
      </c>
      <c r="C90" s="4" t="s">
        <v>16</v>
      </c>
      <c r="D90" s="4" t="s">
        <v>51</v>
      </c>
      <c r="E90" s="6">
        <v>4925.0</v>
      </c>
      <c r="F90" s="8">
        <v>46207.644224537034</v>
      </c>
    </row>
    <row r="91">
      <c r="A91" s="3">
        <v>46207.0</v>
      </c>
      <c r="B91" s="4" t="s">
        <v>14</v>
      </c>
      <c r="C91" s="4" t="s">
        <v>16</v>
      </c>
      <c r="D91" s="4" t="s">
        <v>128</v>
      </c>
      <c r="E91" s="6">
        <v>5400.0</v>
      </c>
      <c r="F91" s="8">
        <v>46207.644224537034</v>
      </c>
    </row>
    <row r="92">
      <c r="A92" s="3">
        <v>46207.0</v>
      </c>
      <c r="B92" s="4" t="s">
        <v>14</v>
      </c>
      <c r="C92" s="4" t="s">
        <v>66</v>
      </c>
      <c r="D92" s="4" t="s">
        <v>103</v>
      </c>
      <c r="E92" s="6">
        <v>11.0</v>
      </c>
      <c r="F92" s="8">
        <v>46207.644224537034</v>
      </c>
    </row>
    <row r="93">
      <c r="A93" s="3">
        <v>46207.0</v>
      </c>
      <c r="B93" s="4" t="s">
        <v>14</v>
      </c>
      <c r="C93" s="4" t="s">
        <v>16</v>
      </c>
      <c r="D93" s="4" t="s">
        <v>104</v>
      </c>
      <c r="E93" s="6">
        <v>5.0</v>
      </c>
      <c r="F93" s="8">
        <v>46207.644224537034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5" t="s">
        <v>0</v>
      </c>
      <c r="B1" s="4" t="s">
        <v>3</v>
      </c>
      <c r="C1" s="4" t="s">
        <v>20</v>
      </c>
      <c r="D1" s="4" t="s">
        <v>2</v>
      </c>
      <c r="E1" s="5" t="s">
        <v>10</v>
      </c>
    </row>
    <row r="2">
      <c r="A2" s="5">
        <v>46207.0</v>
      </c>
      <c r="B2" s="4" t="s">
        <v>22</v>
      </c>
      <c r="C2" s="6">
        <v>2500.0</v>
      </c>
      <c r="D2" s="4" t="s">
        <v>23</v>
      </c>
      <c r="E2" s="10">
        <v>46207.64403935185</v>
      </c>
    </row>
    <row r="3">
      <c r="A3" s="5">
        <v>46207.0</v>
      </c>
      <c r="B3" s="4" t="s">
        <v>24</v>
      </c>
      <c r="C3" s="6">
        <v>15000.0</v>
      </c>
      <c r="D3" s="4" t="s">
        <v>23</v>
      </c>
      <c r="E3" s="10">
        <v>46208.64403935185</v>
      </c>
    </row>
    <row r="4">
      <c r="A4" s="5">
        <v>46207.0</v>
      </c>
      <c r="B4" s="4" t="s">
        <v>27</v>
      </c>
      <c r="C4" s="6">
        <v>2440.0</v>
      </c>
      <c r="D4" s="4" t="s">
        <v>23</v>
      </c>
      <c r="E4" s="10">
        <v>46209.64403935185</v>
      </c>
    </row>
    <row r="5">
      <c r="A5" s="5">
        <v>46207.0</v>
      </c>
      <c r="B5" s="4" t="s">
        <v>29</v>
      </c>
      <c r="C5" s="6">
        <v>1840.0</v>
      </c>
      <c r="D5" s="4" t="s">
        <v>23</v>
      </c>
      <c r="E5" s="10">
        <v>46210.64403935185</v>
      </c>
    </row>
    <row r="6">
      <c r="A6" s="5">
        <v>46207.0</v>
      </c>
      <c r="B6" s="4" t="s">
        <v>32</v>
      </c>
      <c r="C6" s="6">
        <v>60.0</v>
      </c>
      <c r="D6" s="4" t="s">
        <v>34</v>
      </c>
      <c r="E6" s="10">
        <v>46211.64403935185</v>
      </c>
    </row>
    <row r="7">
      <c r="A7" s="5">
        <v>46207.0</v>
      </c>
      <c r="B7" s="4" t="s">
        <v>36</v>
      </c>
      <c r="C7" s="6">
        <v>12.0</v>
      </c>
      <c r="D7" s="4" t="s">
        <v>34</v>
      </c>
      <c r="E7" s="10">
        <v>46212.64403935185</v>
      </c>
    </row>
    <row r="8">
      <c r="A8" s="5">
        <v>46207.0</v>
      </c>
      <c r="B8" s="4" t="s">
        <v>38</v>
      </c>
      <c r="C8" s="6">
        <v>36.0</v>
      </c>
      <c r="D8" s="4" t="s">
        <v>34</v>
      </c>
      <c r="E8" s="10">
        <v>46213.64403935185</v>
      </c>
    </row>
    <row r="9">
      <c r="A9" s="5">
        <v>46207.0</v>
      </c>
      <c r="B9" s="4" t="s">
        <v>41</v>
      </c>
      <c r="C9" s="6">
        <v>10000.0</v>
      </c>
      <c r="D9" s="4" t="s">
        <v>23</v>
      </c>
      <c r="E9" s="10">
        <v>46214.64403935185</v>
      </c>
    </row>
    <row r="10">
      <c r="A10" s="5">
        <v>46207.0</v>
      </c>
      <c r="B10" s="4" t="s">
        <v>42</v>
      </c>
      <c r="C10" s="6">
        <v>9.0</v>
      </c>
      <c r="D10" s="4" t="s">
        <v>34</v>
      </c>
      <c r="E10" s="10">
        <v>46215.64403935185</v>
      </c>
    </row>
    <row r="11">
      <c r="A11" s="5">
        <v>46207.0</v>
      </c>
      <c r="B11" s="4" t="s">
        <v>44</v>
      </c>
      <c r="C11" s="6">
        <v>24.0</v>
      </c>
      <c r="D11" s="4" t="s">
        <v>34</v>
      </c>
      <c r="E11" s="10">
        <v>46216.64403935185</v>
      </c>
    </row>
    <row r="12">
      <c r="A12" s="5">
        <v>46207.0</v>
      </c>
      <c r="B12" s="4" t="s">
        <v>45</v>
      </c>
      <c r="C12" s="6">
        <v>24.0</v>
      </c>
      <c r="D12" s="4" t="s">
        <v>34</v>
      </c>
      <c r="E12" s="10">
        <v>46217.64403935185</v>
      </c>
    </row>
    <row r="13">
      <c r="A13" s="5">
        <v>46207.0</v>
      </c>
      <c r="B13" s="4" t="s">
        <v>47</v>
      </c>
      <c r="C13" s="6">
        <v>36.0</v>
      </c>
      <c r="D13" s="4" t="s">
        <v>34</v>
      </c>
      <c r="E13" s="10">
        <v>46218.64403935185</v>
      </c>
    </row>
    <row r="14">
      <c r="A14" s="5">
        <v>46207.0</v>
      </c>
      <c r="B14" s="4" t="s">
        <v>49</v>
      </c>
      <c r="C14" s="6">
        <v>12.0</v>
      </c>
      <c r="D14" s="4" t="s">
        <v>34</v>
      </c>
      <c r="E14" s="10">
        <v>46219.64403935185</v>
      </c>
    </row>
    <row r="15">
      <c r="A15" s="5">
        <v>46207.0</v>
      </c>
      <c r="B15" s="4" t="s">
        <v>51</v>
      </c>
      <c r="C15" s="6">
        <v>2400.0</v>
      </c>
      <c r="D15" s="4" t="s">
        <v>23</v>
      </c>
      <c r="E15" s="10">
        <v>46220.64403935185</v>
      </c>
    </row>
    <row r="16">
      <c r="A16" s="11"/>
      <c r="E16" s="11"/>
    </row>
    <row r="17">
      <c r="A17" s="11"/>
      <c r="E17" s="11"/>
    </row>
    <row r="18">
      <c r="A18" s="11"/>
      <c r="E18" s="11"/>
    </row>
    <row r="19">
      <c r="A19" s="11"/>
      <c r="E19" s="11"/>
    </row>
    <row r="20">
      <c r="A20" s="11"/>
      <c r="E20" s="11"/>
    </row>
    <row r="21">
      <c r="A21" s="11"/>
      <c r="E21" s="11"/>
    </row>
    <row r="22">
      <c r="A22" s="11"/>
      <c r="E22" s="11"/>
    </row>
    <row r="23">
      <c r="A23" s="11"/>
      <c r="E23" s="11"/>
    </row>
    <row r="24">
      <c r="A24" s="11"/>
      <c r="E24" s="11"/>
    </row>
    <row r="25">
      <c r="A25" s="11"/>
      <c r="E25" s="11"/>
    </row>
    <row r="26">
      <c r="A26" s="11"/>
      <c r="E26" s="11"/>
    </row>
    <row r="27">
      <c r="A27" s="11"/>
      <c r="E27" s="11"/>
    </row>
    <row r="28">
      <c r="A28" s="11"/>
      <c r="E28" s="11"/>
    </row>
    <row r="29">
      <c r="A29" s="11"/>
      <c r="E29" s="11"/>
    </row>
    <row r="30">
      <c r="A30" s="11"/>
      <c r="E30" s="11"/>
    </row>
    <row r="31">
      <c r="A31" s="11"/>
      <c r="E31" s="11"/>
    </row>
    <row r="32">
      <c r="A32" s="11"/>
      <c r="E32" s="11"/>
    </row>
    <row r="33">
      <c r="A33" s="11"/>
      <c r="E33" s="11"/>
    </row>
    <row r="34">
      <c r="A34" s="11"/>
      <c r="E34" s="11"/>
    </row>
    <row r="35">
      <c r="A35" s="11"/>
      <c r="E35" s="11"/>
    </row>
    <row r="36">
      <c r="A36" s="11"/>
      <c r="E36" s="11"/>
    </row>
    <row r="37">
      <c r="A37" s="11"/>
      <c r="E37" s="11"/>
    </row>
    <row r="38">
      <c r="A38" s="11"/>
      <c r="E38" s="11"/>
    </row>
    <row r="39">
      <c r="A39" s="11"/>
      <c r="E39" s="11"/>
    </row>
    <row r="40">
      <c r="A40" s="11"/>
      <c r="E40" s="11"/>
    </row>
    <row r="41">
      <c r="A41" s="11"/>
      <c r="E41" s="11"/>
    </row>
    <row r="42">
      <c r="A42" s="11"/>
      <c r="E42" s="11"/>
    </row>
    <row r="43">
      <c r="A43" s="11"/>
      <c r="E43" s="11"/>
    </row>
    <row r="44">
      <c r="A44" s="11"/>
      <c r="E44" s="11"/>
    </row>
    <row r="45">
      <c r="A45" s="11"/>
      <c r="E45" s="11"/>
    </row>
    <row r="46">
      <c r="A46" s="11"/>
      <c r="E46" s="11"/>
    </row>
    <row r="47">
      <c r="A47" s="11"/>
      <c r="E47" s="11"/>
    </row>
    <row r="48">
      <c r="A48" s="11"/>
      <c r="E48" s="11"/>
    </row>
    <row r="49">
      <c r="A49" s="11"/>
      <c r="E49" s="11"/>
    </row>
    <row r="50">
      <c r="A50" s="11"/>
      <c r="E50" s="11"/>
    </row>
    <row r="51">
      <c r="A51" s="11"/>
      <c r="E51" s="11"/>
    </row>
    <row r="52">
      <c r="A52" s="11"/>
      <c r="E52" s="11"/>
    </row>
    <row r="53">
      <c r="A53" s="11"/>
      <c r="E53" s="11"/>
    </row>
    <row r="54">
      <c r="A54" s="11"/>
      <c r="E54" s="11"/>
    </row>
    <row r="55">
      <c r="A55" s="11"/>
      <c r="E55" s="11"/>
    </row>
    <row r="56">
      <c r="A56" s="11"/>
      <c r="E56" s="11"/>
    </row>
    <row r="57">
      <c r="A57" s="11"/>
      <c r="E57" s="11"/>
    </row>
    <row r="58">
      <c r="A58" s="11"/>
      <c r="E58" s="11"/>
    </row>
    <row r="59">
      <c r="A59" s="11"/>
      <c r="E59" s="11"/>
    </row>
    <row r="60">
      <c r="A60" s="11"/>
      <c r="E60" s="11"/>
    </row>
    <row r="61">
      <c r="A61" s="11"/>
      <c r="E61" s="11"/>
    </row>
    <row r="62">
      <c r="A62" s="11"/>
      <c r="E62" s="11"/>
    </row>
    <row r="63">
      <c r="A63" s="11"/>
      <c r="E63" s="11"/>
    </row>
    <row r="64">
      <c r="A64" s="11"/>
      <c r="E64" s="11"/>
    </row>
    <row r="65">
      <c r="A65" s="11"/>
      <c r="E65" s="11"/>
    </row>
    <row r="66">
      <c r="A66" s="11"/>
      <c r="E66" s="11"/>
    </row>
    <row r="67">
      <c r="A67" s="11"/>
      <c r="E67" s="11"/>
    </row>
    <row r="68">
      <c r="A68" s="11"/>
      <c r="E68" s="11"/>
    </row>
    <row r="69">
      <c r="A69" s="11"/>
      <c r="E69" s="11"/>
    </row>
    <row r="70">
      <c r="A70" s="11"/>
      <c r="E70" s="11"/>
    </row>
    <row r="71">
      <c r="A71" s="11"/>
      <c r="E71" s="11"/>
    </row>
    <row r="72">
      <c r="A72" s="11"/>
      <c r="E72" s="11"/>
    </row>
    <row r="73">
      <c r="A73" s="11"/>
      <c r="E73" s="11"/>
    </row>
    <row r="74">
      <c r="A74" s="11"/>
      <c r="E74" s="11"/>
    </row>
    <row r="75">
      <c r="A75" s="11"/>
      <c r="E75" s="11"/>
    </row>
    <row r="76">
      <c r="A76" s="11"/>
      <c r="E76" s="11"/>
    </row>
    <row r="77">
      <c r="A77" s="11"/>
      <c r="E77" s="11"/>
    </row>
    <row r="78">
      <c r="A78" s="11"/>
      <c r="E78" s="11"/>
    </row>
    <row r="79">
      <c r="A79" s="11"/>
      <c r="E79" s="11"/>
    </row>
    <row r="80">
      <c r="A80" s="11"/>
      <c r="E80" s="11"/>
    </row>
    <row r="81">
      <c r="A81" s="11"/>
      <c r="E81" s="11"/>
    </row>
    <row r="82">
      <c r="A82" s="11"/>
      <c r="E82" s="11"/>
    </row>
    <row r="83">
      <c r="A83" s="11"/>
      <c r="E83" s="11"/>
    </row>
    <row r="84">
      <c r="A84" s="11"/>
      <c r="E84" s="11"/>
    </row>
    <row r="85">
      <c r="A85" s="11"/>
      <c r="E85" s="11"/>
    </row>
    <row r="86">
      <c r="A86" s="11"/>
      <c r="E86" s="11"/>
    </row>
    <row r="87">
      <c r="A87" s="11"/>
      <c r="E87" s="11"/>
    </row>
    <row r="88">
      <c r="A88" s="11"/>
      <c r="E88" s="11"/>
    </row>
    <row r="89">
      <c r="A89" s="11"/>
      <c r="E89" s="11"/>
    </row>
    <row r="90">
      <c r="A90" s="11"/>
      <c r="E90" s="11"/>
    </row>
    <row r="91">
      <c r="A91" s="11"/>
      <c r="E91" s="11"/>
    </row>
    <row r="92">
      <c r="A92" s="11"/>
      <c r="E92" s="11"/>
    </row>
    <row r="93">
      <c r="A93" s="11"/>
      <c r="E93" s="11"/>
    </row>
    <row r="94">
      <c r="A94" s="11"/>
      <c r="E94" s="11"/>
    </row>
    <row r="95">
      <c r="A95" s="11"/>
      <c r="E95" s="11"/>
    </row>
    <row r="96">
      <c r="A96" s="11"/>
      <c r="E96" s="11"/>
    </row>
    <row r="97">
      <c r="A97" s="11"/>
      <c r="E97" s="11"/>
    </row>
    <row r="98">
      <c r="A98" s="11"/>
      <c r="E98" s="11"/>
    </row>
    <row r="99">
      <c r="A99" s="11"/>
      <c r="E99" s="11"/>
    </row>
    <row r="100">
      <c r="A100" s="11"/>
      <c r="E100" s="11"/>
    </row>
    <row r="101">
      <c r="A101" s="11"/>
      <c r="E101" s="11"/>
    </row>
    <row r="102">
      <c r="A102" s="11"/>
      <c r="E102" s="11"/>
    </row>
    <row r="103">
      <c r="A103" s="11"/>
      <c r="E103" s="11"/>
    </row>
    <row r="104">
      <c r="A104" s="11"/>
      <c r="E104" s="11"/>
    </row>
    <row r="105">
      <c r="A105" s="11"/>
      <c r="E105" s="11"/>
    </row>
    <row r="106">
      <c r="A106" s="11"/>
      <c r="E106" s="11"/>
    </row>
    <row r="107">
      <c r="A107" s="11"/>
      <c r="E107" s="11"/>
    </row>
    <row r="108">
      <c r="A108" s="11"/>
      <c r="E108" s="11"/>
    </row>
    <row r="109">
      <c r="A109" s="11"/>
      <c r="E109" s="11"/>
    </row>
    <row r="110">
      <c r="A110" s="11"/>
      <c r="E110" s="11"/>
    </row>
    <row r="111">
      <c r="A111" s="11"/>
      <c r="E111" s="11"/>
    </row>
    <row r="112">
      <c r="A112" s="11"/>
      <c r="E112" s="11"/>
    </row>
    <row r="113">
      <c r="A113" s="11"/>
      <c r="E113" s="11"/>
    </row>
    <row r="114">
      <c r="A114" s="11"/>
      <c r="E114" s="11"/>
    </row>
    <row r="115">
      <c r="A115" s="11"/>
      <c r="E115" s="11"/>
    </row>
    <row r="116">
      <c r="A116" s="11"/>
      <c r="E116" s="11"/>
    </row>
    <row r="117">
      <c r="A117" s="11"/>
      <c r="E117" s="11"/>
    </row>
    <row r="118">
      <c r="A118" s="11"/>
      <c r="E118" s="11"/>
    </row>
    <row r="119">
      <c r="A119" s="11"/>
      <c r="E119" s="11"/>
    </row>
    <row r="120">
      <c r="A120" s="11"/>
      <c r="E120" s="11"/>
    </row>
    <row r="121">
      <c r="A121" s="11"/>
      <c r="E121" s="11"/>
    </row>
    <row r="122">
      <c r="A122" s="11"/>
      <c r="E122" s="11"/>
    </row>
    <row r="123">
      <c r="A123" s="11"/>
      <c r="E123" s="11"/>
    </row>
    <row r="124">
      <c r="A124" s="11"/>
      <c r="E124" s="11"/>
    </row>
    <row r="125">
      <c r="A125" s="11"/>
      <c r="E125" s="11"/>
    </row>
    <row r="126">
      <c r="A126" s="11"/>
      <c r="E126" s="11"/>
    </row>
    <row r="127">
      <c r="A127" s="11"/>
      <c r="E127" s="11"/>
    </row>
    <row r="128">
      <c r="A128" s="11"/>
      <c r="E128" s="11"/>
    </row>
    <row r="129">
      <c r="A129" s="11"/>
      <c r="E129" s="11"/>
    </row>
    <row r="130">
      <c r="A130" s="11"/>
      <c r="E130" s="11"/>
    </row>
    <row r="131">
      <c r="A131" s="11"/>
      <c r="E131" s="11"/>
    </row>
    <row r="132">
      <c r="A132" s="11"/>
      <c r="E132" s="11"/>
    </row>
    <row r="133">
      <c r="A133" s="11"/>
      <c r="E133" s="11"/>
    </row>
    <row r="134">
      <c r="A134" s="11"/>
      <c r="E134" s="11"/>
    </row>
    <row r="135">
      <c r="A135" s="11"/>
      <c r="E135" s="11"/>
    </row>
    <row r="136">
      <c r="A136" s="11"/>
      <c r="E136" s="11"/>
    </row>
    <row r="137">
      <c r="A137" s="11"/>
      <c r="E137" s="11"/>
    </row>
    <row r="138">
      <c r="A138" s="11"/>
      <c r="E138" s="11"/>
    </row>
    <row r="139">
      <c r="A139" s="11"/>
      <c r="E139" s="11"/>
    </row>
    <row r="140">
      <c r="A140" s="11"/>
      <c r="E140" s="11"/>
    </row>
    <row r="141">
      <c r="A141" s="11"/>
      <c r="E141" s="11"/>
    </row>
    <row r="142">
      <c r="A142" s="11"/>
      <c r="E142" s="11"/>
    </row>
    <row r="143">
      <c r="A143" s="11"/>
      <c r="E143" s="11"/>
    </row>
    <row r="144">
      <c r="A144" s="11"/>
      <c r="E144" s="11"/>
    </row>
    <row r="145">
      <c r="A145" s="11"/>
      <c r="E145" s="11"/>
    </row>
    <row r="146">
      <c r="A146" s="11"/>
      <c r="E146" s="11"/>
    </row>
    <row r="147">
      <c r="A147" s="11"/>
      <c r="E147" s="11"/>
    </row>
    <row r="148">
      <c r="A148" s="11"/>
      <c r="E148" s="11"/>
    </row>
    <row r="149">
      <c r="A149" s="11"/>
      <c r="E149" s="11"/>
    </row>
    <row r="150">
      <c r="A150" s="11"/>
      <c r="E150" s="11"/>
    </row>
    <row r="151">
      <c r="A151" s="11"/>
      <c r="E151" s="11"/>
    </row>
    <row r="152">
      <c r="A152" s="11"/>
      <c r="E152" s="11"/>
    </row>
    <row r="153">
      <c r="A153" s="11"/>
      <c r="E153" s="11"/>
    </row>
    <row r="154">
      <c r="A154" s="11"/>
      <c r="E154" s="11"/>
    </row>
    <row r="155">
      <c r="A155" s="11"/>
      <c r="E155" s="11"/>
    </row>
    <row r="156">
      <c r="A156" s="11"/>
      <c r="E156" s="11"/>
    </row>
    <row r="157">
      <c r="A157" s="11"/>
      <c r="E157" s="11"/>
    </row>
    <row r="158">
      <c r="A158" s="11"/>
      <c r="E158" s="11"/>
    </row>
    <row r="159">
      <c r="A159" s="11"/>
      <c r="E159" s="11"/>
    </row>
    <row r="160">
      <c r="A160" s="11"/>
      <c r="E160" s="11"/>
    </row>
    <row r="161">
      <c r="A161" s="11"/>
      <c r="E161" s="11"/>
    </row>
    <row r="162">
      <c r="A162" s="11"/>
      <c r="E162" s="11"/>
    </row>
    <row r="163">
      <c r="A163" s="11"/>
      <c r="E163" s="11"/>
    </row>
    <row r="164">
      <c r="A164" s="11"/>
      <c r="E164" s="11"/>
    </row>
    <row r="165">
      <c r="A165" s="11"/>
      <c r="E165" s="11"/>
    </row>
    <row r="166">
      <c r="A166" s="11"/>
      <c r="E166" s="11"/>
    </row>
    <row r="167">
      <c r="A167" s="11"/>
      <c r="E167" s="11"/>
    </row>
    <row r="168">
      <c r="A168" s="11"/>
      <c r="E168" s="11"/>
    </row>
    <row r="169">
      <c r="A169" s="11"/>
      <c r="E169" s="11"/>
    </row>
    <row r="170">
      <c r="A170" s="11"/>
      <c r="E170" s="11"/>
    </row>
    <row r="171">
      <c r="A171" s="11"/>
      <c r="E171" s="11"/>
    </row>
    <row r="172">
      <c r="A172" s="11"/>
      <c r="E172" s="11"/>
    </row>
    <row r="173">
      <c r="A173" s="11"/>
      <c r="E173" s="11"/>
    </row>
    <row r="174">
      <c r="A174" s="11"/>
      <c r="E174" s="11"/>
    </row>
    <row r="175">
      <c r="A175" s="11"/>
      <c r="E175" s="11"/>
    </row>
    <row r="176">
      <c r="A176" s="11"/>
      <c r="E176" s="11"/>
    </row>
    <row r="177">
      <c r="A177" s="11"/>
      <c r="E177" s="11"/>
    </row>
    <row r="178">
      <c r="A178" s="11"/>
      <c r="E178" s="11"/>
    </row>
    <row r="179">
      <c r="A179" s="11"/>
      <c r="E179" s="11"/>
    </row>
    <row r="180">
      <c r="A180" s="11"/>
      <c r="E180" s="11"/>
    </row>
    <row r="181">
      <c r="A181" s="11"/>
      <c r="E181" s="11"/>
    </row>
    <row r="182">
      <c r="A182" s="11"/>
      <c r="E182" s="11"/>
    </row>
    <row r="183">
      <c r="A183" s="11"/>
      <c r="E183" s="11"/>
    </row>
    <row r="184">
      <c r="A184" s="11"/>
      <c r="E184" s="11"/>
    </row>
    <row r="185">
      <c r="A185" s="11"/>
      <c r="E185" s="11"/>
    </row>
    <row r="186">
      <c r="A186" s="11"/>
      <c r="E186" s="11"/>
    </row>
    <row r="187">
      <c r="A187" s="11"/>
      <c r="E187" s="11"/>
    </row>
    <row r="188">
      <c r="A188" s="11"/>
      <c r="E188" s="11"/>
    </row>
    <row r="189">
      <c r="A189" s="11"/>
      <c r="E189" s="11"/>
    </row>
    <row r="190">
      <c r="A190" s="11"/>
      <c r="E190" s="11"/>
    </row>
    <row r="191">
      <c r="A191" s="11"/>
      <c r="E191" s="11"/>
    </row>
    <row r="192">
      <c r="A192" s="11"/>
      <c r="E192" s="11"/>
    </row>
    <row r="193">
      <c r="A193" s="11"/>
      <c r="E193" s="11"/>
    </row>
    <row r="194">
      <c r="A194" s="11"/>
      <c r="E194" s="11"/>
    </row>
    <row r="195">
      <c r="A195" s="11"/>
      <c r="E195" s="11"/>
    </row>
    <row r="196">
      <c r="A196" s="11"/>
      <c r="E196" s="11"/>
    </row>
    <row r="197">
      <c r="A197" s="11"/>
      <c r="E197" s="11"/>
    </row>
    <row r="198">
      <c r="A198" s="11"/>
      <c r="E198" s="11"/>
    </row>
    <row r="199">
      <c r="A199" s="11"/>
      <c r="E199" s="11"/>
    </row>
    <row r="200">
      <c r="A200" s="11"/>
      <c r="E200" s="11"/>
    </row>
    <row r="201">
      <c r="A201" s="11"/>
      <c r="E201" s="11"/>
    </row>
    <row r="202">
      <c r="A202" s="11"/>
      <c r="E202" s="11"/>
    </row>
    <row r="203">
      <c r="A203" s="11"/>
      <c r="E203" s="11"/>
    </row>
    <row r="204">
      <c r="A204" s="11"/>
      <c r="E204" s="11"/>
    </row>
    <row r="205">
      <c r="A205" s="11"/>
      <c r="E205" s="11"/>
    </row>
    <row r="206">
      <c r="A206" s="11"/>
      <c r="E206" s="11"/>
    </row>
    <row r="207">
      <c r="A207" s="11"/>
      <c r="E207" s="11"/>
    </row>
    <row r="208">
      <c r="A208" s="11"/>
      <c r="E208" s="11"/>
    </row>
    <row r="209">
      <c r="A209" s="11"/>
      <c r="E209" s="11"/>
    </row>
    <row r="210">
      <c r="A210" s="11"/>
      <c r="E210" s="11"/>
    </row>
    <row r="211">
      <c r="A211" s="11"/>
      <c r="E211" s="11"/>
    </row>
    <row r="212">
      <c r="A212" s="11"/>
      <c r="E212" s="11"/>
    </row>
    <row r="213">
      <c r="A213" s="11"/>
      <c r="E213" s="11"/>
    </row>
    <row r="214">
      <c r="A214" s="11"/>
      <c r="E214" s="11"/>
    </row>
    <row r="215">
      <c r="A215" s="11"/>
      <c r="E215" s="11"/>
    </row>
    <row r="216">
      <c r="A216" s="11"/>
      <c r="E216" s="11"/>
    </row>
    <row r="217">
      <c r="A217" s="11"/>
      <c r="E217" s="11"/>
    </row>
    <row r="218">
      <c r="A218" s="11"/>
      <c r="E218" s="11"/>
    </row>
    <row r="219">
      <c r="A219" s="11"/>
      <c r="E219" s="11"/>
    </row>
    <row r="220">
      <c r="A220" s="11"/>
      <c r="E220" s="11"/>
    </row>
    <row r="221">
      <c r="A221" s="11"/>
      <c r="E221" s="11"/>
    </row>
    <row r="222">
      <c r="A222" s="11"/>
      <c r="E222" s="11"/>
    </row>
    <row r="223">
      <c r="A223" s="11"/>
      <c r="E223" s="11"/>
    </row>
    <row r="224">
      <c r="A224" s="11"/>
      <c r="E224" s="11"/>
    </row>
    <row r="225">
      <c r="A225" s="11"/>
      <c r="E225" s="11"/>
    </row>
    <row r="226">
      <c r="A226" s="11"/>
      <c r="E226" s="11"/>
    </row>
    <row r="227">
      <c r="A227" s="11"/>
      <c r="E227" s="11"/>
    </row>
    <row r="228">
      <c r="A228" s="11"/>
      <c r="E228" s="11"/>
    </row>
    <row r="229">
      <c r="A229" s="11"/>
      <c r="E229" s="11"/>
    </row>
    <row r="230">
      <c r="A230" s="11"/>
      <c r="E230" s="11"/>
    </row>
    <row r="231">
      <c r="A231" s="11"/>
      <c r="E231" s="11"/>
    </row>
    <row r="232">
      <c r="A232" s="11"/>
      <c r="E232" s="11"/>
    </row>
    <row r="233">
      <c r="A233" s="11"/>
      <c r="E233" s="11"/>
    </row>
    <row r="234">
      <c r="A234" s="11"/>
      <c r="E234" s="11"/>
    </row>
    <row r="235">
      <c r="A235" s="11"/>
      <c r="E235" s="11"/>
    </row>
    <row r="236">
      <c r="A236" s="11"/>
      <c r="E236" s="11"/>
    </row>
    <row r="237">
      <c r="A237" s="11"/>
      <c r="E237" s="11"/>
    </row>
    <row r="238">
      <c r="A238" s="11"/>
      <c r="E238" s="11"/>
    </row>
    <row r="239">
      <c r="A239" s="11"/>
      <c r="E239" s="11"/>
    </row>
    <row r="240">
      <c r="A240" s="11"/>
      <c r="E240" s="11"/>
    </row>
    <row r="241">
      <c r="A241" s="11"/>
      <c r="E241" s="11"/>
    </row>
    <row r="242">
      <c r="A242" s="11"/>
      <c r="E242" s="11"/>
    </row>
    <row r="243">
      <c r="A243" s="11"/>
      <c r="E243" s="11"/>
    </row>
    <row r="244">
      <c r="A244" s="11"/>
      <c r="E244" s="11"/>
    </row>
    <row r="245">
      <c r="A245" s="11"/>
      <c r="E245" s="11"/>
    </row>
    <row r="246">
      <c r="A246" s="11"/>
      <c r="E246" s="11"/>
    </row>
    <row r="247">
      <c r="A247" s="11"/>
      <c r="E247" s="11"/>
    </row>
    <row r="248">
      <c r="A248" s="11"/>
      <c r="E248" s="11"/>
    </row>
    <row r="249">
      <c r="A249" s="11"/>
      <c r="E249" s="11"/>
    </row>
    <row r="250">
      <c r="A250" s="11"/>
      <c r="E250" s="11"/>
    </row>
    <row r="251">
      <c r="A251" s="11"/>
      <c r="E251" s="11"/>
    </row>
    <row r="252">
      <c r="A252" s="11"/>
      <c r="E252" s="11"/>
    </row>
    <row r="253">
      <c r="A253" s="11"/>
      <c r="E253" s="11"/>
    </row>
    <row r="254">
      <c r="A254" s="11"/>
      <c r="E254" s="11"/>
    </row>
    <row r="255">
      <c r="A255" s="11"/>
      <c r="E255" s="11"/>
    </row>
    <row r="256">
      <c r="A256" s="11"/>
      <c r="E256" s="11"/>
    </row>
    <row r="257">
      <c r="A257" s="11"/>
      <c r="E257" s="11"/>
    </row>
    <row r="258">
      <c r="A258" s="11"/>
      <c r="E258" s="11"/>
    </row>
    <row r="259">
      <c r="A259" s="11"/>
      <c r="E259" s="11"/>
    </row>
    <row r="260">
      <c r="A260" s="11"/>
      <c r="E260" s="11"/>
    </row>
    <row r="261">
      <c r="A261" s="11"/>
      <c r="E261" s="11"/>
    </row>
    <row r="262">
      <c r="A262" s="11"/>
      <c r="E262" s="11"/>
    </row>
    <row r="263">
      <c r="A263" s="11"/>
      <c r="E263" s="11"/>
    </row>
    <row r="264">
      <c r="A264" s="11"/>
      <c r="E264" s="11"/>
    </row>
    <row r="265">
      <c r="A265" s="11"/>
      <c r="E265" s="11"/>
    </row>
    <row r="266">
      <c r="A266" s="11"/>
      <c r="E266" s="11"/>
    </row>
    <row r="267">
      <c r="A267" s="11"/>
      <c r="E267" s="11"/>
    </row>
    <row r="268">
      <c r="A268" s="11"/>
      <c r="E268" s="11"/>
    </row>
    <row r="269">
      <c r="A269" s="11"/>
      <c r="E269" s="11"/>
    </row>
    <row r="270">
      <c r="A270" s="11"/>
      <c r="E270" s="11"/>
    </row>
    <row r="271">
      <c r="A271" s="11"/>
      <c r="E271" s="11"/>
    </row>
    <row r="272">
      <c r="A272" s="11"/>
      <c r="E272" s="11"/>
    </row>
    <row r="273">
      <c r="A273" s="11"/>
      <c r="E273" s="11"/>
    </row>
    <row r="274">
      <c r="A274" s="11"/>
      <c r="E274" s="11"/>
    </row>
    <row r="275">
      <c r="A275" s="11"/>
      <c r="E275" s="11"/>
    </row>
    <row r="276">
      <c r="A276" s="11"/>
      <c r="E276" s="11"/>
    </row>
    <row r="277">
      <c r="A277" s="11"/>
      <c r="E277" s="11"/>
    </row>
    <row r="278">
      <c r="A278" s="11"/>
      <c r="E278" s="11"/>
    </row>
    <row r="279">
      <c r="A279" s="11"/>
      <c r="E279" s="11"/>
    </row>
    <row r="280">
      <c r="A280" s="11"/>
      <c r="E280" s="11"/>
    </row>
    <row r="281">
      <c r="A281" s="11"/>
      <c r="E281" s="11"/>
    </row>
    <row r="282">
      <c r="A282" s="11"/>
      <c r="E282" s="11"/>
    </row>
    <row r="283">
      <c r="A283" s="11"/>
      <c r="E283" s="11"/>
    </row>
    <row r="284">
      <c r="A284" s="11"/>
      <c r="E284" s="11"/>
    </row>
    <row r="285">
      <c r="A285" s="11"/>
      <c r="E285" s="11"/>
    </row>
    <row r="286">
      <c r="A286" s="11"/>
      <c r="E286" s="11"/>
    </row>
    <row r="287">
      <c r="A287" s="11"/>
      <c r="E287" s="11"/>
    </row>
    <row r="288">
      <c r="A288" s="11"/>
      <c r="E288" s="11"/>
    </row>
    <row r="289">
      <c r="A289" s="11"/>
      <c r="E289" s="11"/>
    </row>
    <row r="290">
      <c r="A290" s="11"/>
      <c r="E290" s="11"/>
    </row>
    <row r="291">
      <c r="A291" s="11"/>
      <c r="E291" s="11"/>
    </row>
    <row r="292">
      <c r="A292" s="11"/>
      <c r="E292" s="11"/>
    </row>
    <row r="293">
      <c r="A293" s="11"/>
      <c r="E293" s="11"/>
    </row>
    <row r="294">
      <c r="A294" s="11"/>
      <c r="E294" s="11"/>
    </row>
    <row r="295">
      <c r="A295" s="11"/>
      <c r="E295" s="11"/>
    </row>
    <row r="296">
      <c r="A296" s="11"/>
      <c r="E296" s="11"/>
    </row>
    <row r="297">
      <c r="A297" s="11"/>
      <c r="E297" s="11"/>
    </row>
    <row r="298">
      <c r="A298" s="11"/>
      <c r="E298" s="11"/>
    </row>
    <row r="299">
      <c r="A299" s="11"/>
      <c r="E299" s="11"/>
    </row>
    <row r="300">
      <c r="A300" s="11"/>
      <c r="E300" s="11"/>
    </row>
    <row r="301">
      <c r="A301" s="11"/>
      <c r="E301" s="11"/>
    </row>
    <row r="302">
      <c r="A302" s="11"/>
      <c r="E302" s="11"/>
    </row>
    <row r="303">
      <c r="A303" s="11"/>
      <c r="E303" s="11"/>
    </row>
    <row r="304">
      <c r="A304" s="11"/>
      <c r="E304" s="11"/>
    </row>
    <row r="305">
      <c r="A305" s="11"/>
      <c r="E305" s="11"/>
    </row>
    <row r="306">
      <c r="A306" s="11"/>
      <c r="E306" s="11"/>
    </row>
    <row r="307">
      <c r="A307" s="11"/>
      <c r="E307" s="11"/>
    </row>
    <row r="308">
      <c r="A308" s="11"/>
      <c r="E308" s="11"/>
    </row>
    <row r="309">
      <c r="A309" s="11"/>
      <c r="E309" s="11"/>
    </row>
    <row r="310">
      <c r="A310" s="11"/>
      <c r="E310" s="11"/>
    </row>
    <row r="311">
      <c r="A311" s="11"/>
      <c r="E311" s="11"/>
    </row>
    <row r="312">
      <c r="A312" s="11"/>
      <c r="E312" s="11"/>
    </row>
    <row r="313">
      <c r="A313" s="11"/>
      <c r="E313" s="11"/>
    </row>
    <row r="314">
      <c r="A314" s="11"/>
      <c r="E314" s="11"/>
    </row>
    <row r="315">
      <c r="A315" s="11"/>
      <c r="E315" s="11"/>
    </row>
    <row r="316">
      <c r="A316" s="11"/>
      <c r="E316" s="11"/>
    </row>
    <row r="317">
      <c r="A317" s="11"/>
      <c r="E317" s="11"/>
    </row>
    <row r="318">
      <c r="A318" s="11"/>
      <c r="E318" s="11"/>
    </row>
    <row r="319">
      <c r="A319" s="11"/>
      <c r="E319" s="11"/>
    </row>
    <row r="320">
      <c r="A320" s="11"/>
      <c r="E320" s="11"/>
    </row>
    <row r="321">
      <c r="A321" s="11"/>
      <c r="E321" s="11"/>
    </row>
    <row r="322">
      <c r="A322" s="11"/>
      <c r="E322" s="11"/>
    </row>
    <row r="323">
      <c r="A323" s="11"/>
      <c r="E323" s="11"/>
    </row>
    <row r="324">
      <c r="A324" s="11"/>
      <c r="E324" s="11"/>
    </row>
    <row r="325">
      <c r="A325" s="11"/>
      <c r="E325" s="11"/>
    </row>
    <row r="326">
      <c r="A326" s="11"/>
      <c r="E326" s="11"/>
    </row>
    <row r="327">
      <c r="A327" s="11"/>
      <c r="E327" s="11"/>
    </row>
    <row r="328">
      <c r="A328" s="11"/>
      <c r="E328" s="11"/>
    </row>
    <row r="329">
      <c r="A329" s="11"/>
      <c r="E329" s="11"/>
    </row>
    <row r="330">
      <c r="A330" s="11"/>
      <c r="E330" s="11"/>
    </row>
    <row r="331">
      <c r="A331" s="11"/>
      <c r="E331" s="11"/>
    </row>
    <row r="332">
      <c r="A332" s="11"/>
      <c r="E332" s="11"/>
    </row>
    <row r="333">
      <c r="A333" s="11"/>
      <c r="E333" s="11"/>
    </row>
    <row r="334">
      <c r="A334" s="11"/>
      <c r="E334" s="11"/>
    </row>
    <row r="335">
      <c r="A335" s="11"/>
      <c r="E335" s="11"/>
    </row>
    <row r="336">
      <c r="A336" s="11"/>
      <c r="E336" s="11"/>
    </row>
    <row r="337">
      <c r="A337" s="11"/>
      <c r="E337" s="11"/>
    </row>
    <row r="338">
      <c r="A338" s="11"/>
      <c r="E338" s="11"/>
    </row>
    <row r="339">
      <c r="A339" s="11"/>
      <c r="E339" s="11"/>
    </row>
    <row r="340">
      <c r="A340" s="11"/>
      <c r="E340" s="11"/>
    </row>
    <row r="341">
      <c r="A341" s="11"/>
      <c r="E341" s="11"/>
    </row>
    <row r="342">
      <c r="A342" s="11"/>
      <c r="E342" s="11"/>
    </row>
    <row r="343">
      <c r="A343" s="11"/>
      <c r="E343" s="11"/>
    </row>
    <row r="344">
      <c r="A344" s="11"/>
      <c r="E344" s="11"/>
    </row>
    <row r="345">
      <c r="A345" s="11"/>
      <c r="E345" s="11"/>
    </row>
    <row r="346">
      <c r="A346" s="11"/>
      <c r="E346" s="11"/>
    </row>
    <row r="347">
      <c r="A347" s="11"/>
      <c r="E347" s="11"/>
    </row>
    <row r="348">
      <c r="A348" s="11"/>
      <c r="E348" s="11"/>
    </row>
    <row r="349">
      <c r="A349" s="11"/>
      <c r="E349" s="11"/>
    </row>
    <row r="350">
      <c r="A350" s="11"/>
      <c r="E350" s="11"/>
    </row>
    <row r="351">
      <c r="A351" s="11"/>
      <c r="E351" s="11"/>
    </row>
    <row r="352">
      <c r="A352" s="11"/>
      <c r="E352" s="11"/>
    </row>
    <row r="353">
      <c r="A353" s="11"/>
      <c r="E353" s="11"/>
    </row>
    <row r="354">
      <c r="A354" s="11"/>
      <c r="E354" s="11"/>
    </row>
    <row r="355">
      <c r="A355" s="11"/>
      <c r="E355" s="11"/>
    </row>
    <row r="356">
      <c r="A356" s="11"/>
      <c r="E356" s="11"/>
    </row>
    <row r="357">
      <c r="A357" s="11"/>
      <c r="E357" s="11"/>
    </row>
    <row r="358">
      <c r="A358" s="11"/>
      <c r="E358" s="11"/>
    </row>
    <row r="359">
      <c r="A359" s="11"/>
      <c r="E359" s="11"/>
    </row>
    <row r="360">
      <c r="A360" s="11"/>
      <c r="E360" s="11"/>
    </row>
    <row r="361">
      <c r="A361" s="11"/>
      <c r="E361" s="11"/>
    </row>
    <row r="362">
      <c r="A362" s="11"/>
      <c r="E362" s="11"/>
    </row>
    <row r="363">
      <c r="A363" s="11"/>
      <c r="E363" s="11"/>
    </row>
    <row r="364">
      <c r="A364" s="11"/>
      <c r="E364" s="11"/>
    </row>
    <row r="365">
      <c r="A365" s="11"/>
      <c r="E365" s="11"/>
    </row>
    <row r="366">
      <c r="A366" s="11"/>
      <c r="E366" s="11"/>
    </row>
    <row r="367">
      <c r="A367" s="11"/>
      <c r="E367" s="11"/>
    </row>
    <row r="368">
      <c r="A368" s="11"/>
      <c r="E368" s="11"/>
    </row>
    <row r="369">
      <c r="A369" s="11"/>
      <c r="E369" s="11"/>
    </row>
    <row r="370">
      <c r="A370" s="11"/>
      <c r="E370" s="11"/>
    </row>
    <row r="371">
      <c r="A371" s="11"/>
      <c r="E371" s="11"/>
    </row>
    <row r="372">
      <c r="A372" s="11"/>
      <c r="E372" s="11"/>
    </row>
    <row r="373">
      <c r="A373" s="11"/>
      <c r="E373" s="11"/>
    </row>
    <row r="374">
      <c r="A374" s="11"/>
      <c r="E374" s="11"/>
    </row>
    <row r="375">
      <c r="A375" s="11"/>
      <c r="E375" s="11"/>
    </row>
    <row r="376">
      <c r="A376" s="11"/>
      <c r="E376" s="11"/>
    </row>
    <row r="377">
      <c r="A377" s="11"/>
      <c r="E377" s="11"/>
    </row>
    <row r="378">
      <c r="A378" s="11"/>
      <c r="E378" s="11"/>
    </row>
    <row r="379">
      <c r="A379" s="11"/>
      <c r="E379" s="11"/>
    </row>
    <row r="380">
      <c r="A380" s="11"/>
      <c r="E380" s="11"/>
    </row>
    <row r="381">
      <c r="A381" s="11"/>
      <c r="E381" s="11"/>
    </row>
    <row r="382">
      <c r="A382" s="11"/>
      <c r="E382" s="11"/>
    </row>
    <row r="383">
      <c r="A383" s="11"/>
      <c r="E383" s="11"/>
    </row>
    <row r="384">
      <c r="A384" s="11"/>
      <c r="E384" s="11"/>
    </row>
    <row r="385">
      <c r="A385" s="11"/>
      <c r="E385" s="11"/>
    </row>
    <row r="386">
      <c r="A386" s="11"/>
      <c r="E386" s="11"/>
    </row>
    <row r="387">
      <c r="A387" s="11"/>
      <c r="E387" s="11"/>
    </row>
    <row r="388">
      <c r="A388" s="11"/>
      <c r="E388" s="11"/>
    </row>
    <row r="389">
      <c r="A389" s="11"/>
      <c r="E389" s="11"/>
    </row>
    <row r="390">
      <c r="A390" s="11"/>
      <c r="E390" s="11"/>
    </row>
    <row r="391">
      <c r="A391" s="11"/>
      <c r="E391" s="11"/>
    </row>
    <row r="392">
      <c r="A392" s="11"/>
      <c r="E392" s="11"/>
    </row>
    <row r="393">
      <c r="A393" s="11"/>
      <c r="E393" s="11"/>
    </row>
    <row r="394">
      <c r="A394" s="11"/>
      <c r="E394" s="11"/>
    </row>
    <row r="395">
      <c r="A395" s="11"/>
      <c r="E395" s="11"/>
    </row>
    <row r="396">
      <c r="A396" s="11"/>
      <c r="E396" s="11"/>
    </row>
    <row r="397">
      <c r="A397" s="11"/>
      <c r="E397" s="11"/>
    </row>
    <row r="398">
      <c r="A398" s="11"/>
      <c r="E398" s="11"/>
    </row>
    <row r="399">
      <c r="A399" s="11"/>
      <c r="E399" s="11"/>
    </row>
    <row r="400">
      <c r="A400" s="11"/>
      <c r="E400" s="11"/>
    </row>
    <row r="401">
      <c r="A401" s="11"/>
      <c r="E401" s="11"/>
    </row>
    <row r="402">
      <c r="A402" s="11"/>
      <c r="E402" s="11"/>
    </row>
    <row r="403">
      <c r="A403" s="11"/>
      <c r="E403" s="11"/>
    </row>
    <row r="404">
      <c r="A404" s="11"/>
      <c r="E404" s="11"/>
    </row>
    <row r="405">
      <c r="A405" s="11"/>
      <c r="E405" s="11"/>
    </row>
    <row r="406">
      <c r="A406" s="11"/>
      <c r="E406" s="11"/>
    </row>
    <row r="407">
      <c r="A407" s="11"/>
      <c r="E407" s="11"/>
    </row>
    <row r="408">
      <c r="A408" s="11"/>
      <c r="E408" s="11"/>
    </row>
    <row r="409">
      <c r="A409" s="11"/>
      <c r="E409" s="11"/>
    </row>
    <row r="410">
      <c r="A410" s="11"/>
      <c r="E410" s="11"/>
    </row>
    <row r="411">
      <c r="A411" s="11"/>
      <c r="E411" s="11"/>
    </row>
    <row r="412">
      <c r="A412" s="11"/>
      <c r="E412" s="11"/>
    </row>
    <row r="413">
      <c r="A413" s="11"/>
      <c r="E413" s="11"/>
    </row>
    <row r="414">
      <c r="A414" s="11"/>
      <c r="E414" s="11"/>
    </row>
    <row r="415">
      <c r="A415" s="11"/>
      <c r="E415" s="11"/>
    </row>
    <row r="416">
      <c r="A416" s="11"/>
      <c r="E416" s="11"/>
    </row>
    <row r="417">
      <c r="A417" s="11"/>
      <c r="E417" s="11"/>
    </row>
    <row r="418">
      <c r="A418" s="11"/>
      <c r="E418" s="11"/>
    </row>
    <row r="419">
      <c r="A419" s="11"/>
      <c r="E419" s="11"/>
    </row>
    <row r="420">
      <c r="A420" s="11"/>
      <c r="E420" s="11"/>
    </row>
    <row r="421">
      <c r="A421" s="11"/>
      <c r="E421" s="11"/>
    </row>
    <row r="422">
      <c r="A422" s="11"/>
      <c r="E422" s="11"/>
    </row>
    <row r="423">
      <c r="A423" s="11"/>
      <c r="E423" s="11"/>
    </row>
    <row r="424">
      <c r="A424" s="11"/>
      <c r="E424" s="11"/>
    </row>
    <row r="425">
      <c r="A425" s="11"/>
      <c r="E425" s="11"/>
    </row>
    <row r="426">
      <c r="A426" s="11"/>
      <c r="E426" s="11"/>
    </row>
    <row r="427">
      <c r="A427" s="11"/>
      <c r="E427" s="11"/>
    </row>
    <row r="428">
      <c r="A428" s="11"/>
      <c r="E428" s="11"/>
    </row>
    <row r="429">
      <c r="A429" s="11"/>
      <c r="E429" s="11"/>
    </row>
    <row r="430">
      <c r="A430" s="11"/>
      <c r="E430" s="11"/>
    </row>
    <row r="431">
      <c r="A431" s="11"/>
      <c r="E431" s="11"/>
    </row>
    <row r="432">
      <c r="A432" s="11"/>
      <c r="E432" s="11"/>
    </row>
    <row r="433">
      <c r="A433" s="11"/>
      <c r="E433" s="11"/>
    </row>
    <row r="434">
      <c r="A434" s="11"/>
      <c r="E434" s="11"/>
    </row>
    <row r="435">
      <c r="A435" s="11"/>
      <c r="E435" s="11"/>
    </row>
    <row r="436">
      <c r="A436" s="11"/>
      <c r="E436" s="11"/>
    </row>
    <row r="437">
      <c r="A437" s="11"/>
      <c r="E437" s="11"/>
    </row>
    <row r="438">
      <c r="A438" s="11"/>
      <c r="E438" s="11"/>
    </row>
    <row r="439">
      <c r="A439" s="11"/>
      <c r="E439" s="11"/>
    </row>
    <row r="440">
      <c r="A440" s="11"/>
      <c r="E440" s="11"/>
    </row>
    <row r="441">
      <c r="A441" s="11"/>
      <c r="E441" s="11"/>
    </row>
    <row r="442">
      <c r="A442" s="11"/>
      <c r="E442" s="11"/>
    </row>
    <row r="443">
      <c r="A443" s="11"/>
      <c r="E443" s="11"/>
    </row>
    <row r="444">
      <c r="A444" s="11"/>
      <c r="E444" s="11"/>
    </row>
    <row r="445">
      <c r="A445" s="11"/>
      <c r="E445" s="11"/>
    </row>
    <row r="446">
      <c r="A446" s="11"/>
      <c r="E446" s="11"/>
    </row>
    <row r="447">
      <c r="A447" s="11"/>
      <c r="E447" s="11"/>
    </row>
    <row r="448">
      <c r="A448" s="11"/>
      <c r="E448" s="11"/>
    </row>
    <row r="449">
      <c r="A449" s="11"/>
      <c r="E449" s="11"/>
    </row>
    <row r="450">
      <c r="A450" s="11"/>
      <c r="E450" s="11"/>
    </row>
    <row r="451">
      <c r="A451" s="11"/>
      <c r="E451" s="11"/>
    </row>
    <row r="452">
      <c r="A452" s="11"/>
      <c r="E452" s="11"/>
    </row>
    <row r="453">
      <c r="A453" s="11"/>
      <c r="E453" s="11"/>
    </row>
    <row r="454">
      <c r="A454" s="11"/>
      <c r="E454" s="11"/>
    </row>
    <row r="455">
      <c r="A455" s="11"/>
      <c r="E455" s="11"/>
    </row>
    <row r="456">
      <c r="A456" s="11"/>
      <c r="E456" s="11"/>
    </row>
    <row r="457">
      <c r="A457" s="11"/>
      <c r="E457" s="11"/>
    </row>
    <row r="458">
      <c r="A458" s="11"/>
      <c r="E458" s="11"/>
    </row>
    <row r="459">
      <c r="A459" s="11"/>
      <c r="E459" s="11"/>
    </row>
    <row r="460">
      <c r="A460" s="11"/>
      <c r="E460" s="11"/>
    </row>
    <row r="461">
      <c r="A461" s="11"/>
      <c r="E461" s="11"/>
    </row>
    <row r="462">
      <c r="A462" s="11"/>
      <c r="E462" s="11"/>
    </row>
    <row r="463">
      <c r="A463" s="11"/>
      <c r="E463" s="11"/>
    </row>
    <row r="464">
      <c r="A464" s="11"/>
      <c r="E464" s="11"/>
    </row>
    <row r="465">
      <c r="A465" s="11"/>
      <c r="E465" s="11"/>
    </row>
    <row r="466">
      <c r="A466" s="11"/>
      <c r="E466" s="11"/>
    </row>
    <row r="467">
      <c r="A467" s="11"/>
      <c r="E467" s="11"/>
    </row>
    <row r="468">
      <c r="A468" s="11"/>
      <c r="E468" s="11"/>
    </row>
    <row r="469">
      <c r="A469" s="11"/>
      <c r="E469" s="11"/>
    </row>
    <row r="470">
      <c r="A470" s="11"/>
      <c r="E470" s="11"/>
    </row>
    <row r="471">
      <c r="A471" s="11"/>
      <c r="E471" s="11"/>
    </row>
    <row r="472">
      <c r="A472" s="11"/>
      <c r="E472" s="11"/>
    </row>
    <row r="473">
      <c r="A473" s="11"/>
      <c r="E473" s="11"/>
    </row>
    <row r="474">
      <c r="A474" s="11"/>
      <c r="E474" s="11"/>
    </row>
    <row r="475">
      <c r="A475" s="11"/>
      <c r="E475" s="11"/>
    </row>
    <row r="476">
      <c r="A476" s="11"/>
      <c r="E476" s="11"/>
    </row>
    <row r="477">
      <c r="A477" s="11"/>
      <c r="E477" s="11"/>
    </row>
    <row r="478">
      <c r="A478" s="11"/>
      <c r="E478" s="11"/>
    </row>
    <row r="479">
      <c r="A479" s="11"/>
      <c r="E479" s="11"/>
    </row>
    <row r="480">
      <c r="A480" s="11"/>
      <c r="E480" s="11"/>
    </row>
    <row r="481">
      <c r="A481" s="11"/>
      <c r="E481" s="11"/>
    </row>
    <row r="482">
      <c r="A482" s="11"/>
      <c r="E482" s="11"/>
    </row>
    <row r="483">
      <c r="A483" s="11"/>
      <c r="E483" s="11"/>
    </row>
    <row r="484">
      <c r="A484" s="11"/>
      <c r="E484" s="11"/>
    </row>
    <row r="485">
      <c r="A485" s="11"/>
      <c r="E485" s="11"/>
    </row>
    <row r="486">
      <c r="A486" s="11"/>
      <c r="E486" s="11"/>
    </row>
    <row r="487">
      <c r="A487" s="11"/>
      <c r="E487" s="11"/>
    </row>
    <row r="488">
      <c r="A488" s="11"/>
      <c r="E488" s="11"/>
    </row>
    <row r="489">
      <c r="A489" s="11"/>
      <c r="E489" s="11"/>
    </row>
    <row r="490">
      <c r="A490" s="11"/>
      <c r="E490" s="11"/>
    </row>
    <row r="491">
      <c r="A491" s="11"/>
      <c r="E491" s="11"/>
    </row>
    <row r="492">
      <c r="A492" s="11"/>
      <c r="E492" s="11"/>
    </row>
    <row r="493">
      <c r="A493" s="11"/>
      <c r="E493" s="11"/>
    </row>
    <row r="494">
      <c r="A494" s="11"/>
      <c r="E494" s="11"/>
    </row>
    <row r="495">
      <c r="A495" s="11"/>
      <c r="E495" s="11"/>
    </row>
    <row r="496">
      <c r="A496" s="11"/>
      <c r="E496" s="11"/>
    </row>
    <row r="497">
      <c r="A497" s="11"/>
      <c r="E497" s="11"/>
    </row>
    <row r="498">
      <c r="A498" s="11"/>
      <c r="E498" s="11"/>
    </row>
    <row r="499">
      <c r="A499" s="11"/>
      <c r="E499" s="11"/>
    </row>
    <row r="500">
      <c r="A500" s="11"/>
      <c r="E500" s="11"/>
    </row>
    <row r="501">
      <c r="A501" s="11"/>
      <c r="E501" s="11"/>
    </row>
    <row r="502">
      <c r="A502" s="11"/>
      <c r="E502" s="11"/>
    </row>
    <row r="503">
      <c r="A503" s="11"/>
      <c r="E503" s="11"/>
    </row>
    <row r="504">
      <c r="A504" s="11"/>
      <c r="E504" s="11"/>
    </row>
    <row r="505">
      <c r="A505" s="11"/>
      <c r="E505" s="11"/>
    </row>
    <row r="506">
      <c r="A506" s="11"/>
      <c r="E506" s="11"/>
    </row>
    <row r="507">
      <c r="A507" s="11"/>
      <c r="E507" s="11"/>
    </row>
    <row r="508">
      <c r="A508" s="11"/>
      <c r="E508" s="11"/>
    </row>
    <row r="509">
      <c r="A509" s="11"/>
      <c r="E509" s="11"/>
    </row>
    <row r="510">
      <c r="A510" s="11"/>
      <c r="E510" s="11"/>
    </row>
    <row r="511">
      <c r="A511" s="11"/>
      <c r="E511" s="11"/>
    </row>
    <row r="512">
      <c r="A512" s="11"/>
      <c r="E512" s="11"/>
    </row>
    <row r="513">
      <c r="A513" s="11"/>
      <c r="E513" s="11"/>
    </row>
    <row r="514">
      <c r="A514" s="11"/>
      <c r="E514" s="11"/>
    </row>
    <row r="515">
      <c r="A515" s="11"/>
      <c r="E515" s="11"/>
    </row>
    <row r="516">
      <c r="A516" s="11"/>
      <c r="E516" s="11"/>
    </row>
    <row r="517">
      <c r="A517" s="11"/>
      <c r="E517" s="11"/>
    </row>
    <row r="518">
      <c r="A518" s="11"/>
      <c r="E518" s="11"/>
    </row>
    <row r="519">
      <c r="A519" s="11"/>
      <c r="E519" s="11"/>
    </row>
    <row r="520">
      <c r="A520" s="11"/>
      <c r="E520" s="11"/>
    </row>
    <row r="521">
      <c r="A521" s="11"/>
      <c r="E521" s="11"/>
    </row>
    <row r="522">
      <c r="A522" s="11"/>
      <c r="E522" s="11"/>
    </row>
    <row r="523">
      <c r="A523" s="11"/>
      <c r="E523" s="11"/>
    </row>
    <row r="524">
      <c r="A524" s="11"/>
      <c r="E524" s="11"/>
    </row>
    <row r="525">
      <c r="A525" s="11"/>
      <c r="E525" s="11"/>
    </row>
    <row r="526">
      <c r="A526" s="11"/>
      <c r="E526" s="11"/>
    </row>
    <row r="527">
      <c r="A527" s="11"/>
      <c r="E527" s="11"/>
    </row>
    <row r="528">
      <c r="A528" s="11"/>
      <c r="E528" s="11"/>
    </row>
    <row r="529">
      <c r="A529" s="11"/>
      <c r="E529" s="11"/>
    </row>
    <row r="530">
      <c r="A530" s="11"/>
      <c r="E530" s="11"/>
    </row>
    <row r="531">
      <c r="A531" s="11"/>
      <c r="E531" s="11"/>
    </row>
    <row r="532">
      <c r="A532" s="11"/>
      <c r="E532" s="11"/>
    </row>
    <row r="533">
      <c r="A533" s="11"/>
      <c r="E533" s="11"/>
    </row>
    <row r="534">
      <c r="A534" s="11"/>
      <c r="E534" s="11"/>
    </row>
    <row r="535">
      <c r="A535" s="11"/>
      <c r="E535" s="11"/>
    </row>
    <row r="536">
      <c r="A536" s="11"/>
      <c r="E536" s="11"/>
    </row>
    <row r="537">
      <c r="A537" s="11"/>
      <c r="E537" s="11"/>
    </row>
    <row r="538">
      <c r="A538" s="11"/>
      <c r="E538" s="11"/>
    </row>
    <row r="539">
      <c r="A539" s="11"/>
      <c r="E539" s="11"/>
    </row>
    <row r="540">
      <c r="A540" s="11"/>
      <c r="E540" s="11"/>
    </row>
    <row r="541">
      <c r="A541" s="11"/>
      <c r="E541" s="11"/>
    </row>
    <row r="542">
      <c r="A542" s="11"/>
      <c r="E542" s="11"/>
    </row>
    <row r="543">
      <c r="A543" s="11"/>
      <c r="E543" s="11"/>
    </row>
    <row r="544">
      <c r="A544" s="11"/>
      <c r="E544" s="11"/>
    </row>
    <row r="545">
      <c r="A545" s="11"/>
      <c r="E545" s="11"/>
    </row>
    <row r="546">
      <c r="A546" s="11"/>
      <c r="E546" s="11"/>
    </row>
    <row r="547">
      <c r="A547" s="11"/>
      <c r="E547" s="11"/>
    </row>
    <row r="548">
      <c r="A548" s="11"/>
      <c r="E548" s="11"/>
    </row>
    <row r="549">
      <c r="A549" s="11"/>
      <c r="E549" s="11"/>
    </row>
    <row r="550">
      <c r="A550" s="11"/>
      <c r="E550" s="11"/>
    </row>
    <row r="551">
      <c r="A551" s="11"/>
      <c r="E551" s="11"/>
    </row>
    <row r="552">
      <c r="A552" s="11"/>
      <c r="E552" s="11"/>
    </row>
    <row r="553">
      <c r="A553" s="11"/>
      <c r="E553" s="11"/>
    </row>
    <row r="554">
      <c r="A554" s="11"/>
      <c r="E554" s="11"/>
    </row>
    <row r="555">
      <c r="A555" s="11"/>
      <c r="E555" s="11"/>
    </row>
    <row r="556">
      <c r="A556" s="11"/>
      <c r="E556" s="11"/>
    </row>
    <row r="557">
      <c r="A557" s="11"/>
      <c r="E557" s="11"/>
    </row>
    <row r="558">
      <c r="A558" s="11"/>
      <c r="E558" s="11"/>
    </row>
    <row r="559">
      <c r="A559" s="11"/>
      <c r="E559" s="11"/>
    </row>
    <row r="560">
      <c r="A560" s="11"/>
      <c r="E560" s="11"/>
    </row>
    <row r="561">
      <c r="A561" s="11"/>
      <c r="E561" s="11"/>
    </row>
    <row r="562">
      <c r="A562" s="11"/>
      <c r="E562" s="11"/>
    </row>
    <row r="563">
      <c r="A563" s="11"/>
      <c r="E563" s="11"/>
    </row>
    <row r="564">
      <c r="A564" s="11"/>
      <c r="E564" s="11"/>
    </row>
    <row r="565">
      <c r="A565" s="11"/>
      <c r="E565" s="11"/>
    </row>
    <row r="566">
      <c r="A566" s="11"/>
      <c r="E566" s="11"/>
    </row>
    <row r="567">
      <c r="A567" s="11"/>
      <c r="E567" s="11"/>
    </row>
    <row r="568">
      <c r="A568" s="11"/>
      <c r="E568" s="11"/>
    </row>
    <row r="569">
      <c r="A569" s="11"/>
      <c r="E569" s="11"/>
    </row>
    <row r="570">
      <c r="A570" s="11"/>
      <c r="E570" s="11"/>
    </row>
    <row r="571">
      <c r="A571" s="11"/>
      <c r="E571" s="11"/>
    </row>
    <row r="572">
      <c r="A572" s="11"/>
      <c r="E572" s="11"/>
    </row>
    <row r="573">
      <c r="A573" s="11"/>
      <c r="E573" s="11"/>
    </row>
    <row r="574">
      <c r="A574" s="11"/>
      <c r="E574" s="11"/>
    </row>
    <row r="575">
      <c r="A575" s="11"/>
      <c r="E575" s="11"/>
    </row>
    <row r="576">
      <c r="A576" s="11"/>
      <c r="E576" s="11"/>
    </row>
    <row r="577">
      <c r="A577" s="11"/>
      <c r="E577" s="11"/>
    </row>
    <row r="578">
      <c r="A578" s="11"/>
      <c r="E578" s="11"/>
    </row>
    <row r="579">
      <c r="A579" s="11"/>
      <c r="E579" s="11"/>
    </row>
    <row r="580">
      <c r="A580" s="11"/>
      <c r="E580" s="11"/>
    </row>
    <row r="581">
      <c r="A581" s="11"/>
      <c r="E581" s="11"/>
    </row>
    <row r="582">
      <c r="A582" s="11"/>
      <c r="E582" s="11"/>
    </row>
    <row r="583">
      <c r="A583" s="11"/>
      <c r="E583" s="11"/>
    </row>
    <row r="584">
      <c r="A584" s="11"/>
      <c r="E584" s="11"/>
    </row>
    <row r="585">
      <c r="A585" s="11"/>
      <c r="E585" s="11"/>
    </row>
    <row r="586">
      <c r="A586" s="11"/>
      <c r="E586" s="11"/>
    </row>
    <row r="587">
      <c r="A587" s="11"/>
      <c r="E587" s="11"/>
    </row>
    <row r="588">
      <c r="A588" s="11"/>
      <c r="E588" s="11"/>
    </row>
    <row r="589">
      <c r="A589" s="11"/>
      <c r="E589" s="11"/>
    </row>
    <row r="590">
      <c r="A590" s="11"/>
      <c r="E590" s="11"/>
    </row>
    <row r="591">
      <c r="A591" s="11"/>
      <c r="E591" s="11"/>
    </row>
    <row r="592">
      <c r="A592" s="11"/>
      <c r="E592" s="11"/>
    </row>
    <row r="593">
      <c r="A593" s="11"/>
      <c r="E593" s="11"/>
    </row>
    <row r="594">
      <c r="A594" s="11"/>
      <c r="E594" s="11"/>
    </row>
    <row r="595">
      <c r="A595" s="11"/>
      <c r="E595" s="11"/>
    </row>
    <row r="596">
      <c r="A596" s="11"/>
      <c r="E596" s="11"/>
    </row>
    <row r="597">
      <c r="A597" s="11"/>
      <c r="E597" s="11"/>
    </row>
    <row r="598">
      <c r="A598" s="11"/>
      <c r="E598" s="11"/>
    </row>
    <row r="599">
      <c r="A599" s="11"/>
      <c r="E599" s="11"/>
    </row>
    <row r="600">
      <c r="A600" s="11"/>
      <c r="E600" s="11"/>
    </row>
    <row r="601">
      <c r="A601" s="11"/>
      <c r="E601" s="11"/>
    </row>
    <row r="602">
      <c r="A602" s="11"/>
      <c r="E602" s="11"/>
    </row>
    <row r="603">
      <c r="A603" s="11"/>
      <c r="E603" s="11"/>
    </row>
    <row r="604">
      <c r="A604" s="11"/>
      <c r="E604" s="11"/>
    </row>
    <row r="605">
      <c r="A605" s="11"/>
      <c r="E605" s="11"/>
    </row>
    <row r="606">
      <c r="A606" s="11"/>
      <c r="E606" s="11"/>
    </row>
    <row r="607">
      <c r="A607" s="11"/>
      <c r="E607" s="11"/>
    </row>
    <row r="608">
      <c r="A608" s="11"/>
      <c r="E608" s="11"/>
    </row>
    <row r="609">
      <c r="A609" s="11"/>
      <c r="E609" s="11"/>
    </row>
    <row r="610">
      <c r="A610" s="11"/>
      <c r="E610" s="11"/>
    </row>
    <row r="611">
      <c r="A611" s="11"/>
      <c r="E611" s="11"/>
    </row>
    <row r="612">
      <c r="A612" s="11"/>
      <c r="E612" s="11"/>
    </row>
    <row r="613">
      <c r="A613" s="11"/>
      <c r="E613" s="11"/>
    </row>
    <row r="614">
      <c r="A614" s="11"/>
      <c r="E614" s="11"/>
    </row>
    <row r="615">
      <c r="A615" s="11"/>
      <c r="E615" s="11"/>
    </row>
    <row r="616">
      <c r="A616" s="11"/>
      <c r="E616" s="11"/>
    </row>
    <row r="617">
      <c r="A617" s="11"/>
      <c r="E617" s="11"/>
    </row>
    <row r="618">
      <c r="A618" s="11"/>
      <c r="E618" s="11"/>
    </row>
    <row r="619">
      <c r="A619" s="11"/>
      <c r="E619" s="11"/>
    </row>
    <row r="620">
      <c r="A620" s="11"/>
      <c r="E620" s="11"/>
    </row>
    <row r="621">
      <c r="A621" s="11"/>
      <c r="E621" s="11"/>
    </row>
    <row r="622">
      <c r="A622" s="11"/>
      <c r="E622" s="11"/>
    </row>
    <row r="623">
      <c r="A623" s="11"/>
      <c r="E623" s="11"/>
    </row>
    <row r="624">
      <c r="A624" s="11"/>
      <c r="E624" s="11"/>
    </row>
    <row r="625">
      <c r="A625" s="11"/>
      <c r="E625" s="11"/>
    </row>
    <row r="626">
      <c r="A626" s="11"/>
      <c r="E626" s="11"/>
    </row>
    <row r="627">
      <c r="A627" s="11"/>
      <c r="E627" s="11"/>
    </row>
    <row r="628">
      <c r="A628" s="11"/>
      <c r="E628" s="11"/>
    </row>
    <row r="629">
      <c r="A629" s="11"/>
      <c r="E629" s="11"/>
    </row>
    <row r="630">
      <c r="A630" s="11"/>
      <c r="E630" s="11"/>
    </row>
    <row r="631">
      <c r="A631" s="11"/>
      <c r="E631" s="11"/>
    </row>
    <row r="632">
      <c r="A632" s="11"/>
      <c r="E632" s="11"/>
    </row>
    <row r="633">
      <c r="A633" s="11"/>
      <c r="E633" s="11"/>
    </row>
    <row r="634">
      <c r="A634" s="11"/>
      <c r="E634" s="11"/>
    </row>
    <row r="635">
      <c r="A635" s="11"/>
      <c r="E635" s="11"/>
    </row>
    <row r="636">
      <c r="A636" s="11"/>
      <c r="E636" s="11"/>
    </row>
    <row r="637">
      <c r="A637" s="11"/>
      <c r="E637" s="11"/>
    </row>
    <row r="638">
      <c r="A638" s="11"/>
      <c r="E638" s="11"/>
    </row>
    <row r="639">
      <c r="A639" s="11"/>
      <c r="E639" s="11"/>
    </row>
    <row r="640">
      <c r="A640" s="11"/>
      <c r="E640" s="11"/>
    </row>
    <row r="641">
      <c r="A641" s="11"/>
      <c r="E641" s="11"/>
    </row>
    <row r="642">
      <c r="A642" s="11"/>
      <c r="E642" s="11"/>
    </row>
    <row r="643">
      <c r="A643" s="11"/>
      <c r="E643" s="11"/>
    </row>
    <row r="644">
      <c r="A644" s="11"/>
      <c r="E644" s="11"/>
    </row>
    <row r="645">
      <c r="A645" s="11"/>
      <c r="E645" s="11"/>
    </row>
    <row r="646">
      <c r="A646" s="11"/>
      <c r="E646" s="11"/>
    </row>
    <row r="647">
      <c r="A647" s="11"/>
      <c r="E647" s="11"/>
    </row>
    <row r="648">
      <c r="A648" s="11"/>
      <c r="E648" s="11"/>
    </row>
    <row r="649">
      <c r="A649" s="11"/>
      <c r="E649" s="11"/>
    </row>
    <row r="650">
      <c r="A650" s="11"/>
      <c r="E650" s="11"/>
    </row>
    <row r="651">
      <c r="A651" s="11"/>
      <c r="E651" s="11"/>
    </row>
    <row r="652">
      <c r="A652" s="11"/>
      <c r="E652" s="11"/>
    </row>
    <row r="653">
      <c r="A653" s="11"/>
      <c r="E653" s="11"/>
    </row>
    <row r="654">
      <c r="A654" s="11"/>
      <c r="E654" s="11"/>
    </row>
    <row r="655">
      <c r="A655" s="11"/>
      <c r="E655" s="11"/>
    </row>
    <row r="656">
      <c r="A656" s="11"/>
      <c r="E656" s="11"/>
    </row>
    <row r="657">
      <c r="A657" s="11"/>
      <c r="E657" s="11"/>
    </row>
    <row r="658">
      <c r="A658" s="11"/>
      <c r="E658" s="11"/>
    </row>
    <row r="659">
      <c r="A659" s="11"/>
      <c r="E659" s="11"/>
    </row>
    <row r="660">
      <c r="A660" s="11"/>
      <c r="E660" s="11"/>
    </row>
    <row r="661">
      <c r="A661" s="11"/>
      <c r="E661" s="11"/>
    </row>
    <row r="662">
      <c r="A662" s="11"/>
      <c r="E662" s="11"/>
    </row>
    <row r="663">
      <c r="A663" s="11"/>
      <c r="E663" s="11"/>
    </row>
    <row r="664">
      <c r="A664" s="11"/>
      <c r="E664" s="11"/>
    </row>
    <row r="665">
      <c r="A665" s="11"/>
      <c r="E665" s="11"/>
    </row>
    <row r="666">
      <c r="A666" s="11"/>
      <c r="E666" s="11"/>
    </row>
    <row r="667">
      <c r="A667" s="11"/>
      <c r="E667" s="11"/>
    </row>
    <row r="668">
      <c r="A668" s="11"/>
      <c r="E668" s="11"/>
    </row>
    <row r="669">
      <c r="A669" s="11"/>
      <c r="E669" s="11"/>
    </row>
    <row r="670">
      <c r="A670" s="11"/>
      <c r="E670" s="11"/>
    </row>
    <row r="671">
      <c r="A671" s="11"/>
      <c r="E671" s="11"/>
    </row>
    <row r="672">
      <c r="A672" s="11"/>
      <c r="E672" s="11"/>
    </row>
    <row r="673">
      <c r="A673" s="11"/>
      <c r="E673" s="11"/>
    </row>
    <row r="674">
      <c r="A674" s="11"/>
      <c r="E674" s="11"/>
    </row>
    <row r="675">
      <c r="A675" s="11"/>
      <c r="E675" s="11"/>
    </row>
    <row r="676">
      <c r="A676" s="11"/>
      <c r="E676" s="11"/>
    </row>
    <row r="677">
      <c r="A677" s="11"/>
      <c r="E677" s="11"/>
    </row>
    <row r="678">
      <c r="A678" s="11"/>
      <c r="E678" s="11"/>
    </row>
    <row r="679">
      <c r="A679" s="11"/>
      <c r="E679" s="11"/>
    </row>
    <row r="680">
      <c r="A680" s="11"/>
      <c r="E680" s="11"/>
    </row>
    <row r="681">
      <c r="A681" s="11"/>
      <c r="E681" s="11"/>
    </row>
    <row r="682">
      <c r="A682" s="11"/>
      <c r="E682" s="11"/>
    </row>
    <row r="683">
      <c r="A683" s="11"/>
      <c r="E683" s="11"/>
    </row>
    <row r="684">
      <c r="A684" s="11"/>
      <c r="E684" s="11"/>
    </row>
    <row r="685">
      <c r="A685" s="11"/>
      <c r="E685" s="11"/>
    </row>
    <row r="686">
      <c r="A686" s="11"/>
      <c r="E686" s="11"/>
    </row>
    <row r="687">
      <c r="A687" s="11"/>
      <c r="E687" s="11"/>
    </row>
    <row r="688">
      <c r="A688" s="11"/>
      <c r="E688" s="11"/>
    </row>
    <row r="689">
      <c r="A689" s="11"/>
      <c r="E689" s="11"/>
    </row>
    <row r="690">
      <c r="A690" s="11"/>
      <c r="E690" s="11"/>
    </row>
    <row r="691">
      <c r="A691" s="11"/>
      <c r="E691" s="11"/>
    </row>
    <row r="692">
      <c r="A692" s="11"/>
      <c r="E692" s="11"/>
    </row>
    <row r="693">
      <c r="A693" s="11"/>
      <c r="E693" s="11"/>
    </row>
    <row r="694">
      <c r="A694" s="11"/>
      <c r="E694" s="11"/>
    </row>
    <row r="695">
      <c r="A695" s="11"/>
      <c r="E695" s="11"/>
    </row>
    <row r="696">
      <c r="A696" s="11"/>
      <c r="E696" s="11"/>
    </row>
    <row r="697">
      <c r="A697" s="11"/>
      <c r="E697" s="11"/>
    </row>
    <row r="698">
      <c r="A698" s="11"/>
      <c r="E698" s="11"/>
    </row>
    <row r="699">
      <c r="A699" s="11"/>
      <c r="E699" s="11"/>
    </row>
    <row r="700">
      <c r="A700" s="11"/>
      <c r="E700" s="11"/>
    </row>
    <row r="701">
      <c r="A701" s="11"/>
      <c r="E701" s="11"/>
    </row>
    <row r="702">
      <c r="A702" s="11"/>
      <c r="E702" s="11"/>
    </row>
    <row r="703">
      <c r="A703" s="11"/>
      <c r="E703" s="11"/>
    </row>
    <row r="704">
      <c r="A704" s="11"/>
      <c r="E704" s="11"/>
    </row>
    <row r="705">
      <c r="A705" s="11"/>
      <c r="E705" s="11"/>
    </row>
    <row r="706">
      <c r="A706" s="11"/>
      <c r="E706" s="11"/>
    </row>
    <row r="707">
      <c r="A707" s="11"/>
      <c r="E707" s="11"/>
    </row>
    <row r="708">
      <c r="A708" s="11"/>
      <c r="E708" s="11"/>
    </row>
    <row r="709">
      <c r="A709" s="11"/>
      <c r="E709" s="11"/>
    </row>
    <row r="710">
      <c r="A710" s="11"/>
      <c r="E710" s="11"/>
    </row>
    <row r="711">
      <c r="A711" s="11"/>
      <c r="E711" s="11"/>
    </row>
    <row r="712">
      <c r="A712" s="11"/>
      <c r="E712" s="11"/>
    </row>
    <row r="713">
      <c r="A713" s="11"/>
      <c r="E713" s="11"/>
    </row>
    <row r="714">
      <c r="A714" s="11"/>
      <c r="E714" s="11"/>
    </row>
    <row r="715">
      <c r="A715" s="11"/>
      <c r="E715" s="11"/>
    </row>
    <row r="716">
      <c r="A716" s="11"/>
      <c r="E716" s="11"/>
    </row>
    <row r="717">
      <c r="A717" s="11"/>
      <c r="E717" s="11"/>
    </row>
    <row r="718">
      <c r="A718" s="11"/>
      <c r="E718" s="11"/>
    </row>
    <row r="719">
      <c r="A719" s="11"/>
      <c r="E719" s="11"/>
    </row>
    <row r="720">
      <c r="A720" s="11"/>
      <c r="E720" s="11"/>
    </row>
    <row r="721">
      <c r="A721" s="11"/>
      <c r="E721" s="11"/>
    </row>
    <row r="722">
      <c r="A722" s="11"/>
      <c r="E722" s="11"/>
    </row>
    <row r="723">
      <c r="A723" s="11"/>
      <c r="E723" s="11"/>
    </row>
    <row r="724">
      <c r="A724" s="11"/>
      <c r="E724" s="11"/>
    </row>
    <row r="725">
      <c r="A725" s="11"/>
      <c r="E725" s="11"/>
    </row>
    <row r="726">
      <c r="A726" s="11"/>
      <c r="E726" s="11"/>
    </row>
    <row r="727">
      <c r="A727" s="11"/>
      <c r="E727" s="11"/>
    </row>
    <row r="728">
      <c r="A728" s="11"/>
      <c r="E728" s="11"/>
    </row>
    <row r="729">
      <c r="A729" s="11"/>
      <c r="E729" s="11"/>
    </row>
    <row r="730">
      <c r="A730" s="11"/>
      <c r="E730" s="11"/>
    </row>
    <row r="731">
      <c r="A731" s="11"/>
      <c r="E731" s="11"/>
    </row>
    <row r="732">
      <c r="A732" s="11"/>
      <c r="E732" s="11"/>
    </row>
    <row r="733">
      <c r="A733" s="11"/>
      <c r="E733" s="11"/>
    </row>
    <row r="734">
      <c r="A734" s="11"/>
      <c r="E734" s="11"/>
    </row>
    <row r="735">
      <c r="A735" s="11"/>
      <c r="E735" s="11"/>
    </row>
    <row r="736">
      <c r="A736" s="11"/>
      <c r="E736" s="11"/>
    </row>
    <row r="737">
      <c r="A737" s="11"/>
      <c r="E737" s="11"/>
    </row>
    <row r="738">
      <c r="A738" s="11"/>
      <c r="E738" s="11"/>
    </row>
    <row r="739">
      <c r="A739" s="11"/>
      <c r="E739" s="11"/>
    </row>
    <row r="740">
      <c r="A740" s="11"/>
      <c r="E740" s="11"/>
    </row>
    <row r="741">
      <c r="A741" s="11"/>
      <c r="E741" s="11"/>
    </row>
    <row r="742">
      <c r="A742" s="11"/>
      <c r="E742" s="11"/>
    </row>
    <row r="743">
      <c r="A743" s="11"/>
      <c r="E743" s="11"/>
    </row>
    <row r="744">
      <c r="A744" s="11"/>
      <c r="E744" s="11"/>
    </row>
    <row r="745">
      <c r="A745" s="11"/>
      <c r="E745" s="11"/>
    </row>
    <row r="746">
      <c r="A746" s="11"/>
      <c r="E746" s="11"/>
    </row>
    <row r="747">
      <c r="A747" s="11"/>
      <c r="E747" s="11"/>
    </row>
    <row r="748">
      <c r="A748" s="11"/>
      <c r="E748" s="11"/>
    </row>
    <row r="749">
      <c r="A749" s="11"/>
      <c r="E749" s="11"/>
    </row>
    <row r="750">
      <c r="A750" s="11"/>
      <c r="E750" s="11"/>
    </row>
    <row r="751">
      <c r="A751" s="11"/>
      <c r="E751" s="11"/>
    </row>
    <row r="752">
      <c r="A752" s="11"/>
      <c r="E752" s="11"/>
    </row>
    <row r="753">
      <c r="A753" s="11"/>
      <c r="E753" s="11"/>
    </row>
    <row r="754">
      <c r="A754" s="11"/>
      <c r="E754" s="11"/>
    </row>
    <row r="755">
      <c r="A755" s="11"/>
      <c r="E755" s="11"/>
    </row>
    <row r="756">
      <c r="A756" s="11"/>
      <c r="E756" s="11"/>
    </row>
    <row r="757">
      <c r="A757" s="11"/>
      <c r="E757" s="11"/>
    </row>
    <row r="758">
      <c r="A758" s="11"/>
      <c r="E758" s="11"/>
    </row>
    <row r="759">
      <c r="A759" s="11"/>
      <c r="E759" s="11"/>
    </row>
    <row r="760">
      <c r="A760" s="11"/>
      <c r="E760" s="11"/>
    </row>
    <row r="761">
      <c r="A761" s="11"/>
      <c r="E761" s="11"/>
    </row>
    <row r="762">
      <c r="A762" s="11"/>
      <c r="E762" s="11"/>
    </row>
    <row r="763">
      <c r="A763" s="11"/>
      <c r="E763" s="11"/>
    </row>
    <row r="764">
      <c r="A764" s="11"/>
      <c r="E764" s="11"/>
    </row>
    <row r="765">
      <c r="A765" s="11"/>
      <c r="E765" s="11"/>
    </row>
    <row r="766">
      <c r="A766" s="11"/>
      <c r="E766" s="11"/>
    </row>
    <row r="767">
      <c r="A767" s="11"/>
      <c r="E767" s="11"/>
    </row>
    <row r="768">
      <c r="A768" s="11"/>
      <c r="E768" s="11"/>
    </row>
    <row r="769">
      <c r="A769" s="11"/>
      <c r="E769" s="11"/>
    </row>
    <row r="770">
      <c r="A770" s="11"/>
      <c r="E770" s="11"/>
    </row>
    <row r="771">
      <c r="A771" s="11"/>
      <c r="E771" s="11"/>
    </row>
    <row r="772">
      <c r="A772" s="11"/>
      <c r="E772" s="11"/>
    </row>
    <row r="773">
      <c r="A773" s="11"/>
      <c r="E773" s="11"/>
    </row>
    <row r="774">
      <c r="A774" s="11"/>
      <c r="E774" s="11"/>
    </row>
    <row r="775">
      <c r="A775" s="11"/>
      <c r="E775" s="11"/>
    </row>
    <row r="776">
      <c r="A776" s="11"/>
      <c r="E776" s="11"/>
    </row>
    <row r="777">
      <c r="A777" s="11"/>
      <c r="E777" s="11"/>
    </row>
    <row r="778">
      <c r="A778" s="11"/>
      <c r="E778" s="11"/>
    </row>
    <row r="779">
      <c r="A779" s="11"/>
      <c r="E779" s="11"/>
    </row>
    <row r="780">
      <c r="A780" s="11"/>
      <c r="E780" s="11"/>
    </row>
    <row r="781">
      <c r="A781" s="11"/>
      <c r="E781" s="11"/>
    </row>
    <row r="782">
      <c r="A782" s="11"/>
      <c r="E782" s="11"/>
    </row>
    <row r="783">
      <c r="A783" s="11"/>
      <c r="E783" s="11"/>
    </row>
    <row r="784">
      <c r="A784" s="11"/>
      <c r="E784" s="11"/>
    </row>
    <row r="785">
      <c r="A785" s="11"/>
      <c r="E785" s="11"/>
    </row>
    <row r="786">
      <c r="A786" s="11"/>
      <c r="E786" s="11"/>
    </row>
    <row r="787">
      <c r="A787" s="11"/>
      <c r="E787" s="11"/>
    </row>
    <row r="788">
      <c r="A788" s="11"/>
      <c r="E788" s="11"/>
    </row>
    <row r="789">
      <c r="A789" s="11"/>
      <c r="E789" s="11"/>
    </row>
    <row r="790">
      <c r="A790" s="11"/>
      <c r="E790" s="11"/>
    </row>
    <row r="791">
      <c r="A791" s="11"/>
      <c r="E791" s="11"/>
    </row>
    <row r="792">
      <c r="A792" s="11"/>
      <c r="E792" s="11"/>
    </row>
    <row r="793">
      <c r="A793" s="11"/>
      <c r="E793" s="11"/>
    </row>
    <row r="794">
      <c r="A794" s="11"/>
      <c r="E794" s="11"/>
    </row>
    <row r="795">
      <c r="A795" s="11"/>
      <c r="E795" s="11"/>
    </row>
    <row r="796">
      <c r="A796" s="11"/>
      <c r="E796" s="11"/>
    </row>
    <row r="797">
      <c r="A797" s="11"/>
      <c r="E797" s="11"/>
    </row>
    <row r="798">
      <c r="A798" s="11"/>
      <c r="E798" s="11"/>
    </row>
    <row r="799">
      <c r="A799" s="11"/>
      <c r="E799" s="11"/>
    </row>
    <row r="800">
      <c r="A800" s="11"/>
      <c r="E800" s="11"/>
    </row>
    <row r="801">
      <c r="A801" s="11"/>
      <c r="E801" s="11"/>
    </row>
    <row r="802">
      <c r="A802" s="11"/>
      <c r="E802" s="11"/>
    </row>
    <row r="803">
      <c r="A803" s="11"/>
      <c r="E803" s="11"/>
    </row>
    <row r="804">
      <c r="A804" s="11"/>
      <c r="E804" s="11"/>
    </row>
    <row r="805">
      <c r="A805" s="11"/>
      <c r="E805" s="11"/>
    </row>
    <row r="806">
      <c r="A806" s="11"/>
      <c r="E806" s="11"/>
    </row>
    <row r="807">
      <c r="A807" s="11"/>
      <c r="E807" s="11"/>
    </row>
    <row r="808">
      <c r="A808" s="11"/>
      <c r="E808" s="11"/>
    </row>
    <row r="809">
      <c r="A809" s="11"/>
      <c r="E809" s="11"/>
    </row>
    <row r="810">
      <c r="A810" s="11"/>
      <c r="E810" s="11"/>
    </row>
    <row r="811">
      <c r="A811" s="11"/>
      <c r="E811" s="11"/>
    </row>
    <row r="812">
      <c r="A812" s="11"/>
      <c r="E812" s="11"/>
    </row>
    <row r="813">
      <c r="A813" s="11"/>
      <c r="E813" s="11"/>
    </row>
    <row r="814">
      <c r="A814" s="11"/>
      <c r="E814" s="11"/>
    </row>
    <row r="815">
      <c r="A815" s="11"/>
      <c r="E815" s="11"/>
    </row>
    <row r="816">
      <c r="A816" s="11"/>
      <c r="E816" s="11"/>
    </row>
    <row r="817">
      <c r="A817" s="11"/>
      <c r="E817" s="11"/>
    </row>
    <row r="818">
      <c r="A818" s="11"/>
      <c r="E818" s="11"/>
    </row>
    <row r="819">
      <c r="A819" s="11"/>
      <c r="E819" s="11"/>
    </row>
    <row r="820">
      <c r="A820" s="11"/>
      <c r="E820" s="11"/>
    </row>
    <row r="821">
      <c r="A821" s="11"/>
      <c r="E821" s="11"/>
    </row>
    <row r="822">
      <c r="A822" s="11"/>
      <c r="E822" s="11"/>
    </row>
    <row r="823">
      <c r="A823" s="11"/>
      <c r="E823" s="11"/>
    </row>
    <row r="824">
      <c r="A824" s="11"/>
      <c r="E824" s="11"/>
    </row>
    <row r="825">
      <c r="A825" s="11"/>
      <c r="E825" s="11"/>
    </row>
    <row r="826">
      <c r="A826" s="11"/>
      <c r="E826" s="11"/>
    </row>
    <row r="827">
      <c r="A827" s="11"/>
      <c r="E827" s="11"/>
    </row>
    <row r="828">
      <c r="A828" s="11"/>
      <c r="E828" s="11"/>
    </row>
    <row r="829">
      <c r="A829" s="11"/>
      <c r="E829" s="11"/>
    </row>
    <row r="830">
      <c r="A830" s="11"/>
      <c r="E830" s="11"/>
    </row>
    <row r="831">
      <c r="A831" s="11"/>
      <c r="E831" s="11"/>
    </row>
    <row r="832">
      <c r="A832" s="11"/>
      <c r="E832" s="11"/>
    </row>
    <row r="833">
      <c r="A833" s="11"/>
      <c r="E833" s="11"/>
    </row>
    <row r="834">
      <c r="A834" s="11"/>
      <c r="E834" s="11"/>
    </row>
    <row r="835">
      <c r="A835" s="11"/>
      <c r="E835" s="11"/>
    </row>
    <row r="836">
      <c r="A836" s="11"/>
      <c r="E836" s="11"/>
    </row>
    <row r="837">
      <c r="A837" s="11"/>
      <c r="E837" s="11"/>
    </row>
    <row r="838">
      <c r="A838" s="11"/>
      <c r="E838" s="11"/>
    </row>
    <row r="839">
      <c r="A839" s="11"/>
      <c r="E839" s="11"/>
    </row>
    <row r="840">
      <c r="A840" s="11"/>
      <c r="E840" s="11"/>
    </row>
    <row r="841">
      <c r="A841" s="11"/>
      <c r="E841" s="11"/>
    </row>
    <row r="842">
      <c r="A842" s="11"/>
      <c r="E842" s="11"/>
    </row>
    <row r="843">
      <c r="A843" s="11"/>
      <c r="E843" s="11"/>
    </row>
    <row r="844">
      <c r="A844" s="11"/>
      <c r="E844" s="11"/>
    </row>
    <row r="845">
      <c r="A845" s="11"/>
      <c r="E845" s="11"/>
    </row>
    <row r="846">
      <c r="A846" s="11"/>
      <c r="E846" s="11"/>
    </row>
    <row r="847">
      <c r="A847" s="11"/>
      <c r="E847" s="11"/>
    </row>
    <row r="848">
      <c r="A848" s="11"/>
      <c r="E848" s="11"/>
    </row>
    <row r="849">
      <c r="A849" s="11"/>
      <c r="E849" s="11"/>
    </row>
    <row r="850">
      <c r="A850" s="11"/>
      <c r="E850" s="11"/>
    </row>
    <row r="851">
      <c r="A851" s="11"/>
      <c r="E851" s="11"/>
    </row>
    <row r="852">
      <c r="A852" s="11"/>
      <c r="E852" s="11"/>
    </row>
    <row r="853">
      <c r="A853" s="11"/>
      <c r="E853" s="11"/>
    </row>
    <row r="854">
      <c r="A854" s="11"/>
      <c r="E854" s="11"/>
    </row>
    <row r="855">
      <c r="A855" s="11"/>
      <c r="E855" s="11"/>
    </row>
    <row r="856">
      <c r="A856" s="11"/>
      <c r="E856" s="11"/>
    </row>
    <row r="857">
      <c r="A857" s="11"/>
      <c r="E857" s="11"/>
    </row>
    <row r="858">
      <c r="A858" s="11"/>
      <c r="E858" s="11"/>
    </row>
    <row r="859">
      <c r="A859" s="11"/>
      <c r="E859" s="11"/>
    </row>
    <row r="860">
      <c r="A860" s="11"/>
      <c r="E860" s="11"/>
    </row>
    <row r="861">
      <c r="A861" s="11"/>
      <c r="E861" s="11"/>
    </row>
    <row r="862">
      <c r="A862" s="11"/>
      <c r="E862" s="11"/>
    </row>
    <row r="863">
      <c r="A863" s="11"/>
      <c r="E863" s="11"/>
    </row>
    <row r="864">
      <c r="A864" s="11"/>
      <c r="E864" s="11"/>
    </row>
    <row r="865">
      <c r="A865" s="11"/>
      <c r="E865" s="11"/>
    </row>
    <row r="866">
      <c r="A866" s="11"/>
      <c r="E866" s="11"/>
    </row>
    <row r="867">
      <c r="A867" s="11"/>
      <c r="E867" s="11"/>
    </row>
    <row r="868">
      <c r="A868" s="11"/>
      <c r="E868" s="11"/>
    </row>
    <row r="869">
      <c r="A869" s="11"/>
      <c r="E869" s="11"/>
    </row>
    <row r="870">
      <c r="A870" s="11"/>
      <c r="E870" s="11"/>
    </row>
    <row r="871">
      <c r="A871" s="11"/>
      <c r="E871" s="11"/>
    </row>
    <row r="872">
      <c r="A872" s="11"/>
      <c r="E872" s="11"/>
    </row>
    <row r="873">
      <c r="A873" s="11"/>
      <c r="E873" s="11"/>
    </row>
    <row r="874">
      <c r="A874" s="11"/>
      <c r="E874" s="11"/>
    </row>
    <row r="875">
      <c r="A875" s="11"/>
      <c r="E875" s="11"/>
    </row>
    <row r="876">
      <c r="A876" s="11"/>
      <c r="E876" s="11"/>
    </row>
    <row r="877">
      <c r="A877" s="11"/>
      <c r="E877" s="11"/>
    </row>
    <row r="878">
      <c r="A878" s="11"/>
      <c r="E878" s="11"/>
    </row>
    <row r="879">
      <c r="A879" s="11"/>
      <c r="E879" s="11"/>
    </row>
    <row r="880">
      <c r="A880" s="11"/>
      <c r="E880" s="11"/>
    </row>
    <row r="881">
      <c r="A881" s="11"/>
      <c r="E881" s="11"/>
    </row>
    <row r="882">
      <c r="A882" s="11"/>
      <c r="E882" s="11"/>
    </row>
    <row r="883">
      <c r="A883" s="11"/>
      <c r="E883" s="11"/>
    </row>
    <row r="884">
      <c r="A884" s="11"/>
      <c r="E884" s="11"/>
    </row>
    <row r="885">
      <c r="A885" s="11"/>
      <c r="E885" s="11"/>
    </row>
    <row r="886">
      <c r="A886" s="11"/>
      <c r="E886" s="11"/>
    </row>
    <row r="887">
      <c r="A887" s="11"/>
      <c r="E887" s="11"/>
    </row>
    <row r="888">
      <c r="A888" s="11"/>
      <c r="E888" s="11"/>
    </row>
    <row r="889">
      <c r="A889" s="11"/>
      <c r="E889" s="11"/>
    </row>
    <row r="890">
      <c r="A890" s="11"/>
      <c r="E890" s="11"/>
    </row>
    <row r="891">
      <c r="A891" s="11"/>
      <c r="E891" s="11"/>
    </row>
    <row r="892">
      <c r="A892" s="11"/>
      <c r="E892" s="11"/>
    </row>
    <row r="893">
      <c r="A893" s="11"/>
      <c r="E893" s="11"/>
    </row>
    <row r="894">
      <c r="A894" s="11"/>
      <c r="E894" s="11"/>
    </row>
    <row r="895">
      <c r="A895" s="11"/>
      <c r="E895" s="11"/>
    </row>
    <row r="896">
      <c r="A896" s="11"/>
      <c r="E896" s="11"/>
    </row>
    <row r="897">
      <c r="A897" s="11"/>
      <c r="E897" s="11"/>
    </row>
    <row r="898">
      <c r="A898" s="11"/>
      <c r="E898" s="11"/>
    </row>
    <row r="899">
      <c r="A899" s="11"/>
      <c r="E899" s="11"/>
    </row>
    <row r="900">
      <c r="A900" s="11"/>
      <c r="E900" s="11"/>
    </row>
    <row r="901">
      <c r="A901" s="11"/>
      <c r="E901" s="11"/>
    </row>
    <row r="902">
      <c r="A902" s="11"/>
      <c r="E902" s="11"/>
    </row>
    <row r="903">
      <c r="A903" s="11"/>
      <c r="E903" s="11"/>
    </row>
    <row r="904">
      <c r="A904" s="11"/>
      <c r="E904" s="11"/>
    </row>
    <row r="905">
      <c r="A905" s="11"/>
      <c r="E905" s="11"/>
    </row>
    <row r="906">
      <c r="A906" s="11"/>
      <c r="E906" s="11"/>
    </row>
    <row r="907">
      <c r="A907" s="11"/>
      <c r="E907" s="11"/>
    </row>
    <row r="908">
      <c r="A908" s="11"/>
      <c r="E908" s="11"/>
    </row>
    <row r="909">
      <c r="A909" s="11"/>
      <c r="E909" s="11"/>
    </row>
    <row r="910">
      <c r="A910" s="11"/>
      <c r="E910" s="11"/>
    </row>
    <row r="911">
      <c r="A911" s="11"/>
      <c r="E911" s="11"/>
    </row>
    <row r="912">
      <c r="A912" s="11"/>
      <c r="E912" s="11"/>
    </row>
    <row r="913">
      <c r="A913" s="11"/>
      <c r="E913" s="11"/>
    </row>
    <row r="914">
      <c r="A914" s="11"/>
      <c r="E914" s="11"/>
    </row>
    <row r="915">
      <c r="A915" s="11"/>
      <c r="E915" s="11"/>
    </row>
    <row r="916">
      <c r="A916" s="11"/>
      <c r="E916" s="11"/>
    </row>
    <row r="917">
      <c r="A917" s="11"/>
      <c r="E917" s="11"/>
    </row>
    <row r="918">
      <c r="A918" s="11"/>
      <c r="E918" s="11"/>
    </row>
    <row r="919">
      <c r="A919" s="11"/>
      <c r="E919" s="11"/>
    </row>
    <row r="920">
      <c r="A920" s="11"/>
      <c r="E920" s="11"/>
    </row>
    <row r="921">
      <c r="A921" s="11"/>
      <c r="E921" s="11"/>
    </row>
    <row r="922">
      <c r="A922" s="11"/>
      <c r="E922" s="11"/>
    </row>
    <row r="923">
      <c r="A923" s="11"/>
      <c r="E923" s="11"/>
    </row>
    <row r="924">
      <c r="A924" s="11"/>
      <c r="E924" s="11"/>
    </row>
    <row r="925">
      <c r="A925" s="11"/>
      <c r="E925" s="11"/>
    </row>
    <row r="926">
      <c r="A926" s="11"/>
      <c r="E926" s="11"/>
    </row>
    <row r="927">
      <c r="A927" s="11"/>
      <c r="E927" s="11"/>
    </row>
    <row r="928">
      <c r="A928" s="11"/>
      <c r="E928" s="11"/>
    </row>
    <row r="929">
      <c r="A929" s="11"/>
      <c r="E929" s="11"/>
    </row>
    <row r="930">
      <c r="A930" s="11"/>
      <c r="E930" s="11"/>
    </row>
    <row r="931">
      <c r="A931" s="11"/>
      <c r="E931" s="11"/>
    </row>
    <row r="932">
      <c r="A932" s="11"/>
      <c r="E932" s="11"/>
    </row>
    <row r="933">
      <c r="A933" s="11"/>
      <c r="E933" s="11"/>
    </row>
    <row r="934">
      <c r="A934" s="11"/>
      <c r="E934" s="11"/>
    </row>
    <row r="935">
      <c r="A935" s="11"/>
      <c r="E935" s="11"/>
    </row>
    <row r="936">
      <c r="A936" s="11"/>
      <c r="E936" s="11"/>
    </row>
    <row r="937">
      <c r="A937" s="11"/>
      <c r="E937" s="11"/>
    </row>
    <row r="938">
      <c r="A938" s="11"/>
      <c r="E938" s="11"/>
    </row>
    <row r="939">
      <c r="A939" s="11"/>
      <c r="E939" s="11"/>
    </row>
    <row r="940">
      <c r="A940" s="11"/>
      <c r="E940" s="11"/>
    </row>
    <row r="941">
      <c r="A941" s="11"/>
      <c r="E941" s="11"/>
    </row>
    <row r="942">
      <c r="A942" s="11"/>
      <c r="E942" s="11"/>
    </row>
    <row r="943">
      <c r="A943" s="11"/>
      <c r="E943" s="11"/>
    </row>
    <row r="944">
      <c r="A944" s="11"/>
      <c r="E944" s="11"/>
    </row>
    <row r="945">
      <c r="A945" s="11"/>
      <c r="E945" s="11"/>
    </row>
    <row r="946">
      <c r="A946" s="11"/>
      <c r="E946" s="11"/>
    </row>
    <row r="947">
      <c r="A947" s="11"/>
      <c r="E947" s="11"/>
    </row>
    <row r="948">
      <c r="A948" s="11"/>
      <c r="E948" s="11"/>
    </row>
    <row r="949">
      <c r="A949" s="11"/>
      <c r="E949" s="11"/>
    </row>
    <row r="950">
      <c r="A950" s="11"/>
      <c r="E950" s="11"/>
    </row>
    <row r="951">
      <c r="A951" s="11"/>
      <c r="E951" s="11"/>
    </row>
    <row r="952">
      <c r="A952" s="11"/>
      <c r="E952" s="11"/>
    </row>
    <row r="953">
      <c r="A953" s="11"/>
      <c r="E953" s="11"/>
    </row>
    <row r="954">
      <c r="A954" s="11"/>
      <c r="E954" s="11"/>
    </row>
    <row r="955">
      <c r="A955" s="11"/>
      <c r="E955" s="11"/>
    </row>
    <row r="956">
      <c r="A956" s="11"/>
      <c r="E956" s="11"/>
    </row>
    <row r="957">
      <c r="A957" s="11"/>
      <c r="E957" s="11"/>
    </row>
    <row r="958">
      <c r="A958" s="11"/>
      <c r="E958" s="11"/>
    </row>
    <row r="959">
      <c r="A959" s="11"/>
      <c r="E959" s="11"/>
    </row>
    <row r="960">
      <c r="A960" s="11"/>
      <c r="E960" s="11"/>
    </row>
    <row r="961">
      <c r="A961" s="11"/>
      <c r="E961" s="11"/>
    </row>
    <row r="962">
      <c r="A962" s="11"/>
      <c r="E962" s="11"/>
    </row>
    <row r="963">
      <c r="A963" s="11"/>
      <c r="E963" s="11"/>
    </row>
    <row r="964">
      <c r="A964" s="11"/>
      <c r="E964" s="11"/>
    </row>
    <row r="965">
      <c r="A965" s="11"/>
      <c r="E965" s="11"/>
    </row>
    <row r="966">
      <c r="A966" s="11"/>
      <c r="E966" s="11"/>
    </row>
    <row r="967">
      <c r="A967" s="11"/>
      <c r="E967" s="11"/>
    </row>
    <row r="968">
      <c r="A968" s="11"/>
      <c r="E968" s="11"/>
    </row>
    <row r="969">
      <c r="A969" s="11"/>
      <c r="E969" s="11"/>
    </row>
    <row r="970">
      <c r="A970" s="11"/>
      <c r="E970" s="11"/>
    </row>
    <row r="971">
      <c r="A971" s="11"/>
      <c r="E971" s="11"/>
    </row>
    <row r="972">
      <c r="A972" s="11"/>
      <c r="E972" s="11"/>
    </row>
    <row r="973">
      <c r="A973" s="11"/>
      <c r="E973" s="11"/>
    </row>
    <row r="974">
      <c r="A974" s="11"/>
      <c r="E974" s="11"/>
    </row>
    <row r="975">
      <c r="A975" s="11"/>
      <c r="E975" s="11"/>
    </row>
    <row r="976">
      <c r="A976" s="11"/>
      <c r="E976" s="11"/>
    </row>
    <row r="977">
      <c r="A977" s="11"/>
      <c r="E977" s="11"/>
    </row>
    <row r="978">
      <c r="A978" s="11"/>
      <c r="E978" s="11"/>
    </row>
    <row r="979">
      <c r="A979" s="11"/>
      <c r="E979" s="11"/>
    </row>
    <row r="980">
      <c r="A980" s="11"/>
      <c r="E980" s="11"/>
    </row>
    <row r="981">
      <c r="A981" s="11"/>
      <c r="E981" s="11"/>
    </row>
    <row r="982">
      <c r="A982" s="11"/>
      <c r="E982" s="11"/>
    </row>
    <row r="983">
      <c r="A983" s="11"/>
      <c r="E983" s="11"/>
    </row>
    <row r="984">
      <c r="A984" s="11"/>
      <c r="E984" s="11"/>
    </row>
    <row r="985">
      <c r="A985" s="11"/>
      <c r="E985" s="11"/>
    </row>
    <row r="986">
      <c r="A986" s="11"/>
      <c r="E986" s="11"/>
    </row>
    <row r="987">
      <c r="A987" s="11"/>
      <c r="E987" s="11"/>
    </row>
    <row r="988">
      <c r="A988" s="11"/>
      <c r="E988" s="11"/>
    </row>
    <row r="989">
      <c r="A989" s="11"/>
      <c r="E989" s="11"/>
    </row>
    <row r="990">
      <c r="A990" s="11"/>
      <c r="E990" s="11"/>
    </row>
    <row r="991">
      <c r="A991" s="11"/>
      <c r="E991" s="11"/>
    </row>
    <row r="992">
      <c r="A992" s="11"/>
      <c r="E992" s="11"/>
    </row>
    <row r="993">
      <c r="A993" s="11"/>
      <c r="E993" s="11"/>
    </row>
    <row r="994">
      <c r="A994" s="11"/>
      <c r="E994" s="11"/>
    </row>
    <row r="995">
      <c r="A995" s="11"/>
      <c r="E995" s="11"/>
    </row>
    <row r="996">
      <c r="A996" s="11"/>
      <c r="E996" s="11"/>
    </row>
    <row r="997">
      <c r="A997" s="11"/>
      <c r="E997" s="11"/>
    </row>
    <row r="998">
      <c r="A998" s="11"/>
      <c r="E998" s="11"/>
    </row>
    <row r="999">
      <c r="A999" s="11"/>
      <c r="E999" s="11"/>
    </row>
    <row r="1000">
      <c r="A1000" s="11"/>
      <c r="E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67</v>
      </c>
      <c r="B1" s="4" t="s">
        <v>70</v>
      </c>
      <c r="C1" s="4" t="s">
        <v>71</v>
      </c>
    </row>
    <row r="2">
      <c r="A2" s="4" t="s">
        <v>72</v>
      </c>
      <c r="B2" s="8">
        <v>46209.77914322917</v>
      </c>
      <c r="C2" s="6">
        <v>3.0</v>
      </c>
      <c r="D2" s="4" t="s">
        <v>74</v>
      </c>
    </row>
    <row r="3">
      <c r="A3" s="4" t="s">
        <v>76</v>
      </c>
      <c r="B3" s="8">
        <v>46209.78567165509</v>
      </c>
      <c r="C3" s="6">
        <v>3.0</v>
      </c>
      <c r="D3" s="4" t="s">
        <v>74</v>
      </c>
    </row>
    <row r="4">
      <c r="A4" s="4" t="s">
        <v>78</v>
      </c>
      <c r="B4" s="8">
        <v>46210.449680833335</v>
      </c>
      <c r="C4" s="6">
        <v>9.0</v>
      </c>
      <c r="D4" s="4" t="s">
        <v>74</v>
      </c>
    </row>
    <row r="5">
      <c r="A5" s="4" t="s">
        <v>80</v>
      </c>
      <c r="B5" s="4" t="s">
        <v>82</v>
      </c>
      <c r="C5" s="8">
        <v>46212.61089232639</v>
      </c>
    </row>
    <row r="6">
      <c r="A6" s="4" t="s">
        <v>83</v>
      </c>
      <c r="B6" s="4" t="s">
        <v>85</v>
      </c>
      <c r="C6" s="8">
        <v>46212.62647234954</v>
      </c>
    </row>
    <row r="7">
      <c r="A7" s="4" t="s">
        <v>86</v>
      </c>
      <c r="B7" s="4" t="s">
        <v>87</v>
      </c>
      <c r="C7" s="8">
        <v>46212.644043113425</v>
      </c>
    </row>
    <row r="8">
      <c r="A8" s="4" t="s">
        <v>89</v>
      </c>
      <c r="B8" s="4" t="s">
        <v>82</v>
      </c>
      <c r="C8" s="8">
        <v>46212.64421943287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38"/>
    <col customWidth="1" min="3" max="3" width="19.5"/>
    <col customWidth="1" min="4" max="4" width="8.63"/>
    <col customWidth="1" min="5" max="5" width="10.38"/>
    <col customWidth="1" min="6" max="6" width="19.5"/>
    <col customWidth="1" min="17" max="17" width="21.25"/>
  </cols>
  <sheetData>
    <row r="1" ht="27.75" customHeight="1">
      <c r="A1" s="14"/>
      <c r="B1" s="14"/>
      <c r="O1" s="15" t="s">
        <v>108</v>
      </c>
    </row>
    <row r="2">
      <c r="A2" s="16" t="s">
        <v>109</v>
      </c>
      <c r="B2" s="16" t="s">
        <v>110</v>
      </c>
      <c r="C2" s="17" t="s">
        <v>111</v>
      </c>
      <c r="D2" s="17" t="s">
        <v>112</v>
      </c>
      <c r="E2" s="17" t="s">
        <v>113</v>
      </c>
      <c r="F2" s="17" t="s">
        <v>114</v>
      </c>
      <c r="G2" s="17" t="s">
        <v>115</v>
      </c>
      <c r="H2" s="17" t="s">
        <v>116</v>
      </c>
      <c r="I2" s="17" t="s">
        <v>117</v>
      </c>
      <c r="J2" s="17" t="s">
        <v>118</v>
      </c>
      <c r="K2" s="17" t="s">
        <v>119</v>
      </c>
      <c r="L2" s="17" t="s">
        <v>120</v>
      </c>
      <c r="M2" s="17" t="s">
        <v>122</v>
      </c>
      <c r="O2" s="18">
        <v>46207.0</v>
      </c>
      <c r="Q2" s="1" t="s">
        <v>123</v>
      </c>
      <c r="R2" s="15"/>
    </row>
    <row r="3">
      <c r="A3" s="19">
        <f>VLOOKUP(B3,Productos!$A$2:$D$84,4,0)</f>
        <v>9000</v>
      </c>
      <c r="B3" s="20">
        <v>2.0</v>
      </c>
      <c r="C3" s="12" t="s">
        <v>130</v>
      </c>
      <c r="D3" s="21"/>
      <c r="E3" s="22">
        <f t="shared" ref="E3:E85" si="1">D3*A3</f>
        <v>0</v>
      </c>
      <c r="F3" s="23" t="s">
        <v>18</v>
      </c>
      <c r="G3" s="24">
        <f>(D31*100)+(D10*50)+D58*250</f>
        <v>0</v>
      </c>
      <c r="H3" s="25"/>
      <c r="I3" s="26"/>
      <c r="J3" s="4">
        <v>2.0</v>
      </c>
      <c r="K3" s="4" t="s">
        <v>130</v>
      </c>
      <c r="L3" s="27" t="s">
        <v>136</v>
      </c>
      <c r="M3" s="4">
        <v>14.0</v>
      </c>
      <c r="N3" s="28" t="str">
        <f>VLOOKUP(L3,Insumos!$A$2:$C$67,2)</f>
        <v>JAMON</v>
      </c>
      <c r="Q3" s="4" t="s">
        <v>137</v>
      </c>
    </row>
    <row r="4">
      <c r="A4" s="19">
        <f>VLOOKUP(B4,Productos!$A$2:$D$84,4,0)</f>
        <v>9000</v>
      </c>
      <c r="B4" s="20">
        <v>3.0</v>
      </c>
      <c r="C4" s="12" t="s">
        <v>138</v>
      </c>
      <c r="D4" s="21"/>
      <c r="E4" s="22">
        <f t="shared" si="1"/>
        <v>0</v>
      </c>
      <c r="F4" s="7" t="s">
        <v>22</v>
      </c>
      <c r="G4" s="24">
        <f>(D3*14)+(D4*14)+(D5*14)+(D5*14)+(D7*14)+(D8*14)+(D9*14)+(D10*14)+(D11*14)+(D16*18.75)+(D17*37.5)+(D20*37.5)+(D29*56.25)+(D6*14)</f>
        <v>14</v>
      </c>
      <c r="H4" s="25"/>
      <c r="I4" s="29"/>
      <c r="J4" s="4">
        <v>2.0</v>
      </c>
      <c r="K4" s="4" t="s">
        <v>130</v>
      </c>
      <c r="L4" s="27" t="s">
        <v>139</v>
      </c>
      <c r="M4" s="4">
        <v>80.0</v>
      </c>
      <c r="N4" s="28" t="str">
        <f>VLOOKUP(L4,Insumos!$A$2:$C$67,2)</f>
        <v>QUESO PIZZA</v>
      </c>
      <c r="Q4" s="4" t="s">
        <v>140</v>
      </c>
    </row>
    <row r="5">
      <c r="A5" s="19">
        <f>VLOOKUP(B5,Productos!$A$2:$D$84,4,0)</f>
        <v>9000</v>
      </c>
      <c r="B5" s="20">
        <v>4.0</v>
      </c>
      <c r="C5" s="12" t="s">
        <v>141</v>
      </c>
      <c r="D5" s="21"/>
      <c r="E5" s="22">
        <f t="shared" si="1"/>
        <v>0</v>
      </c>
      <c r="F5" s="7" t="s">
        <v>24</v>
      </c>
      <c r="G5" s="24">
        <f>SUM(D3:D11)*80+(D54*150)+(D84*150)</f>
        <v>80</v>
      </c>
      <c r="H5" s="25"/>
      <c r="I5" s="29"/>
      <c r="J5" s="4">
        <v>2.0</v>
      </c>
      <c r="K5" s="4" t="s">
        <v>130</v>
      </c>
      <c r="L5" s="27" t="s">
        <v>142</v>
      </c>
      <c r="M5" s="4">
        <v>1.0</v>
      </c>
      <c r="N5" s="28" t="str">
        <f>VLOOKUP(L5,Insumos!$A$2:$C$67,2)</f>
        <v>MASAS HECHAS</v>
      </c>
      <c r="Q5" s="4" t="s">
        <v>143</v>
      </c>
    </row>
    <row r="6">
      <c r="A6" s="19">
        <f>VLOOKUP(B6,Productos!$A$2:$D$84,4,0)</f>
        <v>9000</v>
      </c>
      <c r="B6" s="20">
        <v>5.0</v>
      </c>
      <c r="C6" s="12" t="s">
        <v>144</v>
      </c>
      <c r="D6" s="21"/>
      <c r="E6" s="22">
        <f t="shared" si="1"/>
        <v>0</v>
      </c>
      <c r="F6" s="7" t="s">
        <v>28</v>
      </c>
      <c r="G6" s="30">
        <f>D4*31.25</f>
        <v>0</v>
      </c>
      <c r="H6" s="25"/>
      <c r="I6" s="26"/>
      <c r="J6" s="4">
        <v>3.0</v>
      </c>
      <c r="K6" s="31" t="s">
        <v>138</v>
      </c>
      <c r="L6" s="27" t="s">
        <v>136</v>
      </c>
      <c r="M6" s="4">
        <v>14.0</v>
      </c>
      <c r="N6" s="28" t="str">
        <f>VLOOKUP(L6,Insumos!$A$2:$C$67,2)</f>
        <v>JAMON</v>
      </c>
      <c r="Q6" s="4" t="s">
        <v>145</v>
      </c>
    </row>
    <row r="7">
      <c r="A7" s="19">
        <f>VLOOKUP(B7,Productos!$A$2:$D$84,4,0)</f>
        <v>9000</v>
      </c>
      <c r="B7" s="20">
        <v>6.0</v>
      </c>
      <c r="C7" s="12" t="s">
        <v>146</v>
      </c>
      <c r="D7" s="21"/>
      <c r="E7" s="22">
        <f t="shared" si="1"/>
        <v>0</v>
      </c>
      <c r="F7" s="7" t="s">
        <v>27</v>
      </c>
      <c r="G7" s="30">
        <f>(D5*31)+(D8*31)</f>
        <v>31</v>
      </c>
      <c r="H7" s="25"/>
      <c r="I7" s="29"/>
      <c r="J7" s="4">
        <v>3.0</v>
      </c>
      <c r="K7" s="31" t="s">
        <v>138</v>
      </c>
      <c r="L7" s="27" t="s">
        <v>139</v>
      </c>
      <c r="M7" s="4">
        <v>80.0</v>
      </c>
      <c r="N7" s="28" t="str">
        <f>VLOOKUP(L7,Insumos!$A$2:$C$67,2)</f>
        <v>QUESO PIZZA</v>
      </c>
      <c r="Q7" s="4" t="s">
        <v>147</v>
      </c>
    </row>
    <row r="8">
      <c r="A8" s="19">
        <f>VLOOKUP(B8,Productos!$A$2:$D$84,4,0)</f>
        <v>9000</v>
      </c>
      <c r="B8" s="20">
        <v>7.0</v>
      </c>
      <c r="C8" s="12" t="s">
        <v>148</v>
      </c>
      <c r="D8" s="21">
        <v>1.0</v>
      </c>
      <c r="E8" s="22">
        <f t="shared" si="1"/>
        <v>9000</v>
      </c>
      <c r="F8" s="7" t="s">
        <v>33</v>
      </c>
      <c r="G8" s="30">
        <f>(D4*40)+(D5*40)</f>
        <v>0</v>
      </c>
      <c r="H8" s="25"/>
      <c r="I8" s="26"/>
      <c r="J8" s="4">
        <v>3.0</v>
      </c>
      <c r="K8" s="31" t="s">
        <v>138</v>
      </c>
      <c r="L8" s="27" t="s">
        <v>142</v>
      </c>
      <c r="M8" s="4">
        <v>1.0</v>
      </c>
      <c r="N8" s="28" t="str">
        <f>VLOOKUP(L8,Insumos!$A$2:$C$67,2)</f>
        <v>MASAS HECHAS</v>
      </c>
    </row>
    <row r="9">
      <c r="A9" s="19">
        <f>VLOOKUP(B9,Productos!$A$2:$D$84,4,0)</f>
        <v>9000</v>
      </c>
      <c r="B9" s="20">
        <v>8.0</v>
      </c>
      <c r="C9" s="12" t="s">
        <v>149</v>
      </c>
      <c r="D9" s="21"/>
      <c r="E9" s="22">
        <f t="shared" si="1"/>
        <v>0</v>
      </c>
      <c r="F9" s="7" t="s">
        <v>37</v>
      </c>
      <c r="G9" s="30">
        <f>(D6*63)</f>
        <v>0</v>
      </c>
      <c r="H9" s="25"/>
      <c r="I9" s="26"/>
      <c r="J9" s="4">
        <v>3.0</v>
      </c>
      <c r="K9" s="31" t="s">
        <v>138</v>
      </c>
      <c r="L9" s="27" t="s">
        <v>156</v>
      </c>
      <c r="M9" s="4">
        <v>40.0</v>
      </c>
      <c r="N9" s="28" t="str">
        <f>VLOOKUP(L9,Insumos!$A$2:$C$67,2)</f>
        <v>POLLO PIZZA</v>
      </c>
    </row>
    <row r="10">
      <c r="A10" s="19">
        <f>VLOOKUP(B10,Productos!$A$2:$D$84,4,0)</f>
        <v>9000</v>
      </c>
      <c r="B10" s="20">
        <v>9.0</v>
      </c>
      <c r="C10" s="12" t="s">
        <v>158</v>
      </c>
      <c r="D10" s="21"/>
      <c r="E10" s="22">
        <f t="shared" si="1"/>
        <v>0</v>
      </c>
      <c r="F10" s="7" t="s">
        <v>48</v>
      </c>
      <c r="G10" s="30">
        <f>(D6/4)</f>
        <v>0</v>
      </c>
      <c r="H10" s="26"/>
      <c r="I10" s="26"/>
      <c r="J10" s="4">
        <v>4.0</v>
      </c>
      <c r="K10" s="31" t="s">
        <v>141</v>
      </c>
      <c r="L10" s="27" t="s">
        <v>136</v>
      </c>
      <c r="M10" s="4">
        <v>28.0</v>
      </c>
      <c r="N10" s="28" t="str">
        <f>VLOOKUP(L10,Insumos!$A$2:$C$67,2)</f>
        <v>JAMON</v>
      </c>
    </row>
    <row r="11">
      <c r="A11" s="19">
        <f>VLOOKUP(B11,Productos!$A$2:$D$84,4,0)</f>
        <v>9000</v>
      </c>
      <c r="B11" s="20">
        <v>10.0</v>
      </c>
      <c r="C11" s="12" t="s">
        <v>162</v>
      </c>
      <c r="D11" s="21"/>
      <c r="E11" s="22">
        <f t="shared" si="1"/>
        <v>0</v>
      </c>
      <c r="F11" s="7" t="s">
        <v>39</v>
      </c>
      <c r="G11" s="30">
        <f>(D7*31)</f>
        <v>0</v>
      </c>
      <c r="H11" s="25"/>
      <c r="I11" s="26"/>
      <c r="J11" s="4">
        <v>4.0</v>
      </c>
      <c r="K11" s="31" t="s">
        <v>141</v>
      </c>
      <c r="L11" s="27" t="s">
        <v>139</v>
      </c>
      <c r="M11" s="4">
        <v>80.0</v>
      </c>
      <c r="N11" s="28" t="str">
        <f>VLOOKUP(L11,Insumos!$A$2:$C$67,2)</f>
        <v>QUESO PIZZA</v>
      </c>
    </row>
    <row r="12">
      <c r="A12" s="19">
        <f>VLOOKUP(B12,Productos!$A$2:$D$84,4,0)</f>
        <v>14000</v>
      </c>
      <c r="B12" s="20">
        <v>11.0</v>
      </c>
      <c r="C12" s="12" t="s">
        <v>163</v>
      </c>
      <c r="D12" s="21"/>
      <c r="E12" s="22">
        <f t="shared" si="1"/>
        <v>0</v>
      </c>
      <c r="F12" s="7" t="s">
        <v>29</v>
      </c>
      <c r="G12" s="30">
        <f>(D7*31)</f>
        <v>0</v>
      </c>
      <c r="H12" s="25"/>
      <c r="I12" s="29"/>
      <c r="J12" s="4">
        <v>4.0</v>
      </c>
      <c r="K12" s="31" t="s">
        <v>141</v>
      </c>
      <c r="L12" s="27" t="s">
        <v>164</v>
      </c>
      <c r="M12" s="4">
        <v>31.0</v>
      </c>
      <c r="N12" s="28" t="str">
        <f>VLOOKUP(L12,Insumos!$A$2:$C$67,2)</f>
        <v>SALCHICHA IDEAL</v>
      </c>
    </row>
    <row r="13">
      <c r="A13" s="19">
        <f>VLOOKUP(B13,Productos!$A$2:$D$84,4,0)</f>
        <v>16000</v>
      </c>
      <c r="B13" s="20">
        <v>12.0</v>
      </c>
      <c r="C13" s="12" t="s">
        <v>166</v>
      </c>
      <c r="D13" s="21"/>
      <c r="E13" s="22">
        <f t="shared" si="1"/>
        <v>0</v>
      </c>
      <c r="F13" s="7" t="s">
        <v>43</v>
      </c>
      <c r="G13" s="30"/>
      <c r="H13" s="29"/>
      <c r="I13" s="26"/>
      <c r="J13" s="4">
        <v>4.0</v>
      </c>
      <c r="K13" s="31" t="s">
        <v>141</v>
      </c>
      <c r="L13" s="27" t="s">
        <v>156</v>
      </c>
      <c r="M13" s="4">
        <v>40.0</v>
      </c>
      <c r="N13" s="28" t="str">
        <f>VLOOKUP(L13,Insumos!$A$2:$C$67,2)</f>
        <v>POLLO PIZZA</v>
      </c>
    </row>
    <row r="14">
      <c r="A14" s="19">
        <f>VLOOKUP(B14,Productos!$A$2:$D$84,4,0)</f>
        <v>19000</v>
      </c>
      <c r="B14" s="20">
        <v>13.0</v>
      </c>
      <c r="C14" s="12" t="s">
        <v>167</v>
      </c>
      <c r="D14" s="21"/>
      <c r="E14" s="22">
        <f t="shared" si="1"/>
        <v>0</v>
      </c>
      <c r="F14" s="7" t="s">
        <v>32</v>
      </c>
      <c r="G14" s="30"/>
      <c r="H14" s="29"/>
      <c r="I14" s="29"/>
      <c r="J14" s="4">
        <v>4.0</v>
      </c>
      <c r="K14" s="31" t="s">
        <v>141</v>
      </c>
      <c r="L14" s="27" t="s">
        <v>142</v>
      </c>
      <c r="M14" s="4">
        <v>1.0</v>
      </c>
      <c r="N14" s="28" t="str">
        <f>VLOOKUP(L14,Insumos!$A$2:$C$67,2)</f>
        <v>MASAS HECHAS</v>
      </c>
    </row>
    <row r="15">
      <c r="A15" s="19">
        <f>VLOOKUP(B15,Productos!$A$2:$D$84,4,0)</f>
        <v>22000</v>
      </c>
      <c r="B15" s="20">
        <v>14.0</v>
      </c>
      <c r="C15" s="12" t="s">
        <v>168</v>
      </c>
      <c r="D15" s="21"/>
      <c r="E15" s="22">
        <f t="shared" si="1"/>
        <v>0</v>
      </c>
      <c r="F15" s="7" t="s">
        <v>46</v>
      </c>
      <c r="G15" s="30"/>
      <c r="H15" s="29"/>
      <c r="I15" s="26"/>
      <c r="J15" s="4">
        <v>5.0</v>
      </c>
      <c r="K15" s="31" t="s">
        <v>144</v>
      </c>
      <c r="L15" s="27" t="s">
        <v>139</v>
      </c>
      <c r="M15" s="4">
        <v>80.0</v>
      </c>
      <c r="N15" s="28" t="str">
        <f>VLOOKUP(L15,Insumos!$A$2:$C$67,2)</f>
        <v>QUESO PIZZA</v>
      </c>
    </row>
    <row r="16">
      <c r="A16" s="19">
        <f>VLOOKUP(B16,Productos!$A$2:$D$84,4,0)</f>
        <v>13000</v>
      </c>
      <c r="B16" s="20">
        <v>15.0</v>
      </c>
      <c r="C16" s="12" t="s">
        <v>170</v>
      </c>
      <c r="D16" s="21"/>
      <c r="E16" s="22">
        <f t="shared" si="1"/>
        <v>0</v>
      </c>
      <c r="F16" s="7" t="s">
        <v>50</v>
      </c>
      <c r="G16" s="30"/>
      <c r="H16" s="29"/>
      <c r="I16" s="26"/>
      <c r="J16" s="4">
        <v>5.0</v>
      </c>
      <c r="K16" s="31" t="s">
        <v>144</v>
      </c>
      <c r="L16" s="27" t="s">
        <v>169</v>
      </c>
      <c r="M16" s="4">
        <v>63.0</v>
      </c>
      <c r="N16" s="28" t="str">
        <f>VLOOKUP(L16,Insumos!$A$2:$C$67,2)</f>
        <v>CARNE PIZZA</v>
      </c>
    </row>
    <row r="17">
      <c r="A17" s="19">
        <f>VLOOKUP(B17,Productos!$A$2:$D$84,4,0)</f>
        <v>19000</v>
      </c>
      <c r="B17" s="20">
        <v>16.0</v>
      </c>
      <c r="C17" s="12" t="s">
        <v>172</v>
      </c>
      <c r="D17" s="21"/>
      <c r="E17" s="22">
        <f t="shared" si="1"/>
        <v>0</v>
      </c>
      <c r="F17" s="7" t="s">
        <v>36</v>
      </c>
      <c r="G17" s="30"/>
      <c r="H17" s="29"/>
      <c r="I17" s="29"/>
      <c r="J17" s="4">
        <v>5.0</v>
      </c>
      <c r="K17" s="31" t="s">
        <v>144</v>
      </c>
      <c r="L17" s="27" t="s">
        <v>171</v>
      </c>
      <c r="M17" s="4">
        <v>0.25</v>
      </c>
      <c r="N17" s="28" t="str">
        <f>VLOOKUP(L17,Insumos!$A$2:$C$67,2)</f>
        <v>CHISS TREES</v>
      </c>
    </row>
    <row r="18">
      <c r="A18" s="19">
        <f>VLOOKUP(B18,Productos!$A$2:$D$84,4,0)</f>
        <v>18000</v>
      </c>
      <c r="B18" s="20">
        <v>17.0</v>
      </c>
      <c r="C18" s="12" t="s">
        <v>174</v>
      </c>
      <c r="D18" s="21"/>
      <c r="E18" s="22">
        <f t="shared" si="1"/>
        <v>0</v>
      </c>
      <c r="F18" s="7" t="s">
        <v>38</v>
      </c>
      <c r="G18" s="30"/>
      <c r="H18" s="29"/>
      <c r="I18" s="29"/>
      <c r="J18" s="4">
        <v>5.0</v>
      </c>
      <c r="K18" s="31" t="s">
        <v>144</v>
      </c>
      <c r="L18" s="27" t="s">
        <v>142</v>
      </c>
      <c r="M18" s="4">
        <v>1.0</v>
      </c>
      <c r="N18" s="28" t="str">
        <f>VLOOKUP(L18,Insumos!$A$2:$C$67,2)</f>
        <v>MASAS HECHAS</v>
      </c>
    </row>
    <row r="19">
      <c r="A19" s="19">
        <f>VLOOKUP(B19,Productos!$A$2:$D$84,4,0)</f>
        <v>16000</v>
      </c>
      <c r="B19" s="20">
        <v>18.0</v>
      </c>
      <c r="C19" s="12" t="s">
        <v>176</v>
      </c>
      <c r="D19" s="21"/>
      <c r="E19" s="22">
        <f t="shared" si="1"/>
        <v>0</v>
      </c>
      <c r="F19" s="7" t="s">
        <v>55</v>
      </c>
      <c r="G19" s="30"/>
      <c r="H19" s="29"/>
      <c r="I19" s="26"/>
      <c r="J19" s="4">
        <v>6.0</v>
      </c>
      <c r="K19" s="31" t="s">
        <v>146</v>
      </c>
      <c r="L19" s="27" t="s">
        <v>136</v>
      </c>
      <c r="M19" s="4">
        <v>14.0</v>
      </c>
      <c r="N19" s="28" t="str">
        <f>VLOOKUP(L19,Insumos!$A$2:$C$67,2)</f>
        <v>JAMON</v>
      </c>
    </row>
    <row r="20">
      <c r="A20" s="19">
        <f>VLOOKUP(B20,Productos!$A$2:$D$84,4,0)</f>
        <v>19000</v>
      </c>
      <c r="B20" s="20">
        <v>19.0</v>
      </c>
      <c r="C20" s="12" t="s">
        <v>177</v>
      </c>
      <c r="D20" s="21"/>
      <c r="E20" s="22">
        <f t="shared" si="1"/>
        <v>0</v>
      </c>
      <c r="F20" s="7" t="s">
        <v>41</v>
      </c>
      <c r="G20" s="30"/>
      <c r="H20" s="25"/>
      <c r="I20" s="29"/>
      <c r="J20" s="4">
        <v>6.0</v>
      </c>
      <c r="K20" s="31" t="s">
        <v>146</v>
      </c>
      <c r="L20" s="27" t="s">
        <v>139</v>
      </c>
      <c r="M20" s="4">
        <v>80.0</v>
      </c>
      <c r="N20" s="28" t="str">
        <f>VLOOKUP(L20,Insumos!$A$2:$C$67,2)</f>
        <v>QUESO PIZZA</v>
      </c>
    </row>
    <row r="21">
      <c r="A21" s="19">
        <f>VLOOKUP(B21,Productos!$A$2:$D$84,4,0)</f>
        <v>21000</v>
      </c>
      <c r="B21" s="20">
        <v>20.0</v>
      </c>
      <c r="C21" s="12" t="s">
        <v>179</v>
      </c>
      <c r="D21" s="21"/>
      <c r="E21" s="22">
        <f t="shared" si="1"/>
        <v>0</v>
      </c>
      <c r="F21" s="7" t="s">
        <v>59</v>
      </c>
      <c r="G21" s="30"/>
      <c r="H21" s="29"/>
      <c r="I21" s="26"/>
      <c r="J21" s="4">
        <v>6.0</v>
      </c>
      <c r="K21" s="31" t="s">
        <v>146</v>
      </c>
      <c r="L21" s="27" t="s">
        <v>173</v>
      </c>
      <c r="M21" s="4">
        <v>31.0</v>
      </c>
      <c r="N21" s="28" t="str">
        <f>VLOOKUP(L21,Insumos!$A$2:$C$67,2)</f>
        <v>MAZORCA</v>
      </c>
    </row>
    <row r="22">
      <c r="A22" s="19">
        <f>VLOOKUP(B22,Productos!$A$2:$D$84,4,0)</f>
        <v>5000</v>
      </c>
      <c r="B22" s="20">
        <v>21.0</v>
      </c>
      <c r="C22" s="12" t="s">
        <v>180</v>
      </c>
      <c r="D22" s="21"/>
      <c r="E22" s="22">
        <f t="shared" si="1"/>
        <v>0</v>
      </c>
      <c r="F22" s="7" t="s">
        <v>42</v>
      </c>
      <c r="G22" s="30"/>
      <c r="H22" s="29"/>
      <c r="I22" s="29"/>
      <c r="J22" s="4">
        <v>6.0</v>
      </c>
      <c r="K22" s="31" t="s">
        <v>146</v>
      </c>
      <c r="L22" s="27" t="s">
        <v>175</v>
      </c>
      <c r="M22" s="4">
        <v>31.0</v>
      </c>
      <c r="N22" s="28" t="str">
        <f>VLOOKUP(L22,Insumos!$A$2:$C$67,2)</f>
        <v>SALCHICHA RANCHERA</v>
      </c>
    </row>
    <row r="23">
      <c r="A23" s="19">
        <f>VLOOKUP(B23,Productos!$A$2:$D$84,4,0)</f>
        <v>31000</v>
      </c>
      <c r="B23" s="20">
        <v>22.0</v>
      </c>
      <c r="C23" s="12" t="s">
        <v>181</v>
      </c>
      <c r="D23" s="21"/>
      <c r="E23" s="22">
        <f t="shared" si="1"/>
        <v>0</v>
      </c>
      <c r="F23" s="7" t="s">
        <v>62</v>
      </c>
      <c r="G23" s="37"/>
      <c r="H23" s="29"/>
      <c r="I23" s="26"/>
      <c r="J23" s="4">
        <v>6.0</v>
      </c>
      <c r="K23" s="31" t="s">
        <v>146</v>
      </c>
      <c r="L23" s="27" t="s">
        <v>142</v>
      </c>
      <c r="M23" s="4">
        <v>1.0</v>
      </c>
      <c r="N23" s="28" t="str">
        <f>VLOOKUP(L23,Insumos!$A$2:$C$67,2)</f>
        <v>MASAS HECHAS</v>
      </c>
    </row>
    <row r="24">
      <c r="A24" s="19">
        <f>VLOOKUP(B24,Productos!$A$2:$D$84,4,0)</f>
        <v>40000</v>
      </c>
      <c r="B24" s="20">
        <v>23.0</v>
      </c>
      <c r="C24" s="12" t="s">
        <v>183</v>
      </c>
      <c r="D24" s="21"/>
      <c r="E24" s="22">
        <f t="shared" si="1"/>
        <v>0</v>
      </c>
      <c r="F24" s="7" t="s">
        <v>64</v>
      </c>
      <c r="G24" s="37"/>
      <c r="H24" s="29"/>
      <c r="I24" s="26"/>
      <c r="J24" s="4">
        <v>7.0</v>
      </c>
      <c r="K24" s="31" t="s">
        <v>148</v>
      </c>
      <c r="L24" s="27" t="s">
        <v>136</v>
      </c>
      <c r="M24" s="4">
        <v>14.0</v>
      </c>
      <c r="N24" s="28" t="str">
        <f>VLOOKUP(L24,Insumos!$A$2:$C$67,2)</f>
        <v>JAMON</v>
      </c>
    </row>
    <row r="25">
      <c r="A25" s="19">
        <f>VLOOKUP(B25,Productos!$A$2:$D$84,4,0)</f>
        <v>29000</v>
      </c>
      <c r="B25" s="20">
        <v>24.0</v>
      </c>
      <c r="C25" s="12" t="s">
        <v>64</v>
      </c>
      <c r="D25" s="20"/>
      <c r="E25" s="22">
        <f t="shared" si="1"/>
        <v>0</v>
      </c>
      <c r="F25" s="12" t="s">
        <v>44</v>
      </c>
      <c r="G25" s="30"/>
      <c r="H25" s="29"/>
      <c r="I25" s="29"/>
      <c r="J25" s="4">
        <v>7.0</v>
      </c>
      <c r="K25" s="31" t="s">
        <v>148</v>
      </c>
      <c r="L25" s="27" t="s">
        <v>139</v>
      </c>
      <c r="M25" s="4">
        <v>80.0</v>
      </c>
      <c r="N25" s="28" t="str">
        <f>VLOOKUP(L25,Insumos!$A$2:$C$67,2)</f>
        <v>QUESO PIZZA</v>
      </c>
    </row>
    <row r="26">
      <c r="A26" s="19">
        <f>VLOOKUP(B26,Productos!$A$2:$D$84,4,0)</f>
        <v>10000</v>
      </c>
      <c r="B26" s="20">
        <v>25.0</v>
      </c>
      <c r="C26" s="12" t="s">
        <v>132</v>
      </c>
      <c r="D26" s="20"/>
      <c r="E26" s="22">
        <f t="shared" si="1"/>
        <v>0</v>
      </c>
      <c r="F26" s="12" t="s">
        <v>69</v>
      </c>
      <c r="G26" s="30"/>
      <c r="H26" s="29"/>
      <c r="I26" s="26"/>
      <c r="J26" s="4">
        <v>7.0</v>
      </c>
      <c r="K26" s="31" t="s">
        <v>148</v>
      </c>
      <c r="L26" s="27" t="s">
        <v>164</v>
      </c>
      <c r="M26" s="4">
        <v>31.0</v>
      </c>
      <c r="N26" s="28" t="str">
        <f>VLOOKUP(L26,Insumos!$A$2:$C$67,2)</f>
        <v>SALCHICHA IDEAL</v>
      </c>
    </row>
    <row r="27">
      <c r="A27" s="19">
        <f>VLOOKUP(B27,Productos!$A$2:$D$84,4,0)</f>
        <v>43000</v>
      </c>
      <c r="B27" s="20">
        <v>26.0</v>
      </c>
      <c r="C27" s="12" t="s">
        <v>186</v>
      </c>
      <c r="D27" s="20"/>
      <c r="E27" s="22">
        <f t="shared" si="1"/>
        <v>0</v>
      </c>
      <c r="F27" s="12" t="s">
        <v>73</v>
      </c>
      <c r="G27" s="30"/>
      <c r="H27" s="29"/>
      <c r="I27" s="26"/>
      <c r="J27" s="4">
        <v>7.0</v>
      </c>
      <c r="K27" s="31" t="s">
        <v>148</v>
      </c>
      <c r="L27" s="27" t="s">
        <v>142</v>
      </c>
      <c r="M27" s="4">
        <v>1.0</v>
      </c>
      <c r="N27" s="28" t="str">
        <f>VLOOKUP(L27,Insumos!$A$2:$C$67,2)</f>
        <v>MASAS HECHAS</v>
      </c>
    </row>
    <row r="28">
      <c r="A28" s="19">
        <f>VLOOKUP(B28,Productos!$A$2:$D$84,4,0)</f>
        <v>7000</v>
      </c>
      <c r="B28" s="20">
        <v>27.0</v>
      </c>
      <c r="C28" s="12" t="s">
        <v>106</v>
      </c>
      <c r="D28" s="20"/>
      <c r="E28" s="22">
        <f t="shared" si="1"/>
        <v>0</v>
      </c>
      <c r="F28" s="12" t="s">
        <v>77</v>
      </c>
      <c r="G28" s="37"/>
      <c r="H28" s="29"/>
      <c r="I28" s="26"/>
      <c r="J28" s="4">
        <v>7.0</v>
      </c>
      <c r="K28" s="31" t="s">
        <v>148</v>
      </c>
      <c r="L28" s="27" t="s">
        <v>178</v>
      </c>
      <c r="M28" s="4">
        <v>35.0</v>
      </c>
      <c r="N28" s="28" t="str">
        <f>VLOOKUP(L28,Insumos!$A$2:$C$67,2)</f>
        <v>PAPA RIPIO</v>
      </c>
    </row>
    <row r="29">
      <c r="A29" s="19">
        <f>VLOOKUP(B29,Productos!$A$2:$D$84,4,0)</f>
        <v>3000</v>
      </c>
      <c r="B29" s="20">
        <v>28.0</v>
      </c>
      <c r="C29" s="12" t="s">
        <v>44</v>
      </c>
      <c r="D29" s="20"/>
      <c r="E29" s="22">
        <f t="shared" si="1"/>
        <v>0</v>
      </c>
      <c r="F29" s="12" t="s">
        <v>79</v>
      </c>
      <c r="G29" s="30"/>
      <c r="H29" s="29"/>
      <c r="I29" s="26"/>
      <c r="J29" s="4">
        <v>8.0</v>
      </c>
      <c r="K29" s="31" t="s">
        <v>149</v>
      </c>
      <c r="L29" s="27" t="s">
        <v>136</v>
      </c>
      <c r="M29" s="4">
        <v>14.0</v>
      </c>
      <c r="N29" s="28" t="str">
        <f>VLOOKUP(L29,Insumos!$A$2:$C$67,2)</f>
        <v>JAMON</v>
      </c>
    </row>
    <row r="30">
      <c r="A30" s="19">
        <f>VLOOKUP(B30,Productos!$A$2:$D$84,4,0)</f>
        <v>4500</v>
      </c>
      <c r="B30" s="20">
        <v>29.0</v>
      </c>
      <c r="C30" s="12" t="s">
        <v>69</v>
      </c>
      <c r="D30" s="38"/>
      <c r="E30" s="22">
        <f t="shared" si="1"/>
        <v>0</v>
      </c>
      <c r="F30" s="13" t="s">
        <v>84</v>
      </c>
      <c r="G30" s="30"/>
      <c r="H30" s="29"/>
      <c r="I30" s="26"/>
      <c r="J30" s="4">
        <v>8.0</v>
      </c>
      <c r="K30" s="31" t="s">
        <v>149</v>
      </c>
      <c r="L30" s="27" t="s">
        <v>139</v>
      </c>
      <c r="M30" s="4">
        <v>80.0</v>
      </c>
      <c r="N30" s="28" t="str">
        <f>VLOOKUP(L30,Insumos!$A$2:$C$67,2)</f>
        <v>QUESO PIZZA</v>
      </c>
    </row>
    <row r="31">
      <c r="A31" s="19">
        <f>VLOOKUP(B31,Productos!$A$2:$D$84,4,0)</f>
        <v>26000</v>
      </c>
      <c r="B31" s="20">
        <v>30.0</v>
      </c>
      <c r="C31" s="12" t="s">
        <v>192</v>
      </c>
      <c r="D31" s="20"/>
      <c r="E31" s="22">
        <f t="shared" si="1"/>
        <v>0</v>
      </c>
      <c r="F31" s="12" t="s">
        <v>88</v>
      </c>
      <c r="G31" s="30"/>
      <c r="H31" s="29"/>
      <c r="I31" s="26"/>
      <c r="J31" s="4">
        <v>8.0</v>
      </c>
      <c r="K31" s="31" t="s">
        <v>149</v>
      </c>
      <c r="L31" s="27" t="s">
        <v>142</v>
      </c>
      <c r="M31" s="4">
        <v>1.0</v>
      </c>
      <c r="N31" s="28" t="str">
        <f>VLOOKUP(L31,Insumos!$A$2:$C$67,2)</f>
        <v>MASAS HECHAS</v>
      </c>
    </row>
    <row r="32">
      <c r="A32" s="19">
        <f>VLOOKUP(B32,Productos!$A$2:$D$84,4,0)</f>
        <v>4500</v>
      </c>
      <c r="B32" s="20">
        <v>31.0</v>
      </c>
      <c r="C32" s="12" t="s">
        <v>77</v>
      </c>
      <c r="D32" s="20"/>
      <c r="E32" s="22">
        <f t="shared" si="1"/>
        <v>0</v>
      </c>
      <c r="F32" s="12" t="s">
        <v>90</v>
      </c>
      <c r="G32" s="30"/>
      <c r="H32" s="29"/>
      <c r="I32" s="26"/>
      <c r="J32" s="4">
        <v>8.0</v>
      </c>
      <c r="K32" s="31" t="s">
        <v>149</v>
      </c>
      <c r="L32" s="27" t="s">
        <v>173</v>
      </c>
      <c r="M32" s="4">
        <v>20.0</v>
      </c>
      <c r="N32" s="28" t="str">
        <f>VLOOKUP(L32,Insumos!$A$2:$C$67,2)</f>
        <v>MAZORCA</v>
      </c>
    </row>
    <row r="33">
      <c r="A33" s="19">
        <f>VLOOKUP(B33,Productos!$A$2:$D$84,4,0)</f>
        <v>9000</v>
      </c>
      <c r="B33" s="20">
        <v>32.0</v>
      </c>
      <c r="C33" s="12" t="s">
        <v>79</v>
      </c>
      <c r="D33" s="20"/>
      <c r="E33" s="22">
        <f t="shared" si="1"/>
        <v>0</v>
      </c>
      <c r="F33" s="12" t="s">
        <v>92</v>
      </c>
      <c r="G33" s="30"/>
      <c r="H33" s="29"/>
      <c r="I33" s="26"/>
      <c r="J33" s="4">
        <v>8.0</v>
      </c>
      <c r="K33" s="31" t="s">
        <v>149</v>
      </c>
      <c r="L33" s="27" t="s">
        <v>182</v>
      </c>
      <c r="M33" s="4">
        <v>20.0</v>
      </c>
      <c r="N33" s="28" t="str">
        <f>VLOOKUP(L33,Insumos!$A$2:$C$67,2)</f>
        <v>SALCHICHON</v>
      </c>
    </row>
    <row r="34">
      <c r="A34" s="19">
        <f>VLOOKUP(B34,Productos!$A$2:$D$84,4,0)</f>
        <v>4500</v>
      </c>
      <c r="B34" s="20">
        <v>33.0</v>
      </c>
      <c r="C34" s="12" t="s">
        <v>195</v>
      </c>
      <c r="D34" s="20"/>
      <c r="E34" s="22">
        <f t="shared" si="1"/>
        <v>0</v>
      </c>
      <c r="F34" s="12" t="s">
        <v>93</v>
      </c>
      <c r="G34" s="30"/>
      <c r="H34" s="29"/>
      <c r="I34" s="26"/>
      <c r="J34" s="4">
        <v>9.0</v>
      </c>
      <c r="K34" s="31" t="s">
        <v>158</v>
      </c>
      <c r="L34" s="27" t="s">
        <v>136</v>
      </c>
      <c r="M34" s="4">
        <v>14.0</v>
      </c>
      <c r="N34" s="28" t="str">
        <f>VLOOKUP(L34,Insumos!$A$2:$C$67,2)</f>
        <v>JAMON</v>
      </c>
    </row>
    <row r="35">
      <c r="A35" s="19">
        <f>VLOOKUP(B35,Productos!$A$2:$D$84,4,0)</f>
        <v>5000</v>
      </c>
      <c r="B35" s="20">
        <v>34.0</v>
      </c>
      <c r="C35" s="12" t="s">
        <v>88</v>
      </c>
      <c r="D35" s="20"/>
      <c r="E35" s="22">
        <f t="shared" si="1"/>
        <v>0</v>
      </c>
      <c r="F35" s="12" t="s">
        <v>94</v>
      </c>
      <c r="G35" s="30"/>
      <c r="H35" s="29"/>
      <c r="I35" s="26"/>
      <c r="J35" s="4">
        <v>9.0</v>
      </c>
      <c r="K35" s="31" t="s">
        <v>158</v>
      </c>
      <c r="L35" s="27" t="s">
        <v>139</v>
      </c>
      <c r="M35" s="4">
        <v>80.0</v>
      </c>
      <c r="N35" s="28" t="str">
        <f>VLOOKUP(L35,Insumos!$A$2:$C$67,2)</f>
        <v>QUESO PIZZA</v>
      </c>
    </row>
    <row r="36">
      <c r="A36" s="19">
        <f>VLOOKUP(B36,Productos!$A$2:$D$84,4,0)</f>
        <v>12000</v>
      </c>
      <c r="B36" s="20">
        <v>35.0</v>
      </c>
      <c r="C36" s="12" t="s">
        <v>90</v>
      </c>
      <c r="D36" s="20"/>
      <c r="E36" s="22">
        <f t="shared" si="1"/>
        <v>0</v>
      </c>
      <c r="F36" s="12" t="s">
        <v>45</v>
      </c>
      <c r="G36" s="30"/>
      <c r="H36" s="29"/>
      <c r="I36" s="29"/>
      <c r="J36" s="4">
        <v>9.0</v>
      </c>
      <c r="K36" s="31" t="s">
        <v>158</v>
      </c>
      <c r="L36" s="27" t="s">
        <v>142</v>
      </c>
      <c r="M36" s="4">
        <v>1.0</v>
      </c>
      <c r="N36" s="28" t="str">
        <f>VLOOKUP(L36,Insumos!$A$2:$C$67,2)</f>
        <v>MASAS HECHAS</v>
      </c>
    </row>
    <row r="37">
      <c r="A37" s="19">
        <f>VLOOKUP(B37,Productos!$A$2:$D$84,4,0)</f>
        <v>3000</v>
      </c>
      <c r="B37" s="20">
        <v>36.0</v>
      </c>
      <c r="C37" s="12" t="s">
        <v>92</v>
      </c>
      <c r="D37" s="20"/>
      <c r="E37" s="22">
        <f t="shared" si="1"/>
        <v>0</v>
      </c>
      <c r="F37" s="12" t="s">
        <v>47</v>
      </c>
      <c r="G37" s="30"/>
      <c r="H37" s="26"/>
      <c r="I37" s="29"/>
      <c r="J37" s="4">
        <v>9.0</v>
      </c>
      <c r="K37" s="31" t="s">
        <v>158</v>
      </c>
      <c r="L37" s="27" t="s">
        <v>184</v>
      </c>
      <c r="M37" s="4">
        <v>50.0</v>
      </c>
    </row>
    <row r="38">
      <c r="A38" s="19">
        <f>VLOOKUP(B38,Productos!$A$2:$D$84,4,0)</f>
        <v>4500</v>
      </c>
      <c r="B38" s="20">
        <v>37.0</v>
      </c>
      <c r="C38" s="12" t="s">
        <v>93</v>
      </c>
      <c r="D38" s="20"/>
      <c r="E38" s="22">
        <f t="shared" si="1"/>
        <v>0</v>
      </c>
      <c r="F38" s="12" t="s">
        <v>105</v>
      </c>
      <c r="G38" s="37"/>
      <c r="H38" s="26"/>
      <c r="I38" s="26"/>
      <c r="J38" s="4">
        <v>10.0</v>
      </c>
      <c r="K38" s="31" t="s">
        <v>162</v>
      </c>
      <c r="L38" s="27" t="s">
        <v>136</v>
      </c>
      <c r="M38" s="4">
        <v>14.0</v>
      </c>
      <c r="N38" s="28" t="str">
        <f>VLOOKUP(L38,Insumos!$A$2:$C$67,2)</f>
        <v>JAMON</v>
      </c>
    </row>
    <row r="39">
      <c r="A39" s="19">
        <f>VLOOKUP(B39,Productos!$A$2:$D$84,4,0)</f>
        <v>3500</v>
      </c>
      <c r="B39" s="20">
        <v>38.0</v>
      </c>
      <c r="C39" s="12" t="s">
        <v>94</v>
      </c>
      <c r="D39" s="20"/>
      <c r="E39" s="22">
        <f t="shared" si="1"/>
        <v>0</v>
      </c>
      <c r="F39" s="12" t="s">
        <v>106</v>
      </c>
      <c r="G39" s="37"/>
      <c r="H39" s="26"/>
      <c r="I39" s="26"/>
      <c r="J39" s="4">
        <v>10.0</v>
      </c>
      <c r="K39" s="31" t="s">
        <v>162</v>
      </c>
      <c r="L39" s="27" t="s">
        <v>139</v>
      </c>
      <c r="M39" s="4">
        <v>80.0</v>
      </c>
      <c r="N39" s="28" t="str">
        <f>VLOOKUP(L39,Insumos!$A$2:$C$67,2)</f>
        <v>QUESO PIZZA</v>
      </c>
    </row>
    <row r="40">
      <c r="A40" s="19">
        <f>VLOOKUP(B40,Productos!$A$2:$D$84,4,0)</f>
        <v>3000</v>
      </c>
      <c r="B40" s="20">
        <v>39.0</v>
      </c>
      <c r="C40" s="12" t="s">
        <v>45</v>
      </c>
      <c r="D40" s="20"/>
      <c r="E40" s="22">
        <f t="shared" si="1"/>
        <v>0</v>
      </c>
      <c r="F40" s="12" t="s">
        <v>95</v>
      </c>
      <c r="G40" s="30"/>
      <c r="H40" s="29"/>
      <c r="I40" s="26"/>
      <c r="J40" s="4">
        <v>10.0</v>
      </c>
      <c r="K40" s="31" t="s">
        <v>162</v>
      </c>
      <c r="L40" s="27" t="s">
        <v>142</v>
      </c>
      <c r="M40" s="4">
        <v>1.0</v>
      </c>
      <c r="N40" s="28" t="str">
        <f>VLOOKUP(L40,Insumos!$A$2:$C$67,2)</f>
        <v>MASAS HECHAS</v>
      </c>
    </row>
    <row r="41">
      <c r="A41" s="19">
        <f>VLOOKUP(B41,Productos!$A$2:$D$84,4,0)</f>
        <v>4000</v>
      </c>
      <c r="B41" s="20">
        <v>40.0</v>
      </c>
      <c r="C41" s="12" t="s">
        <v>199</v>
      </c>
      <c r="D41" s="20"/>
      <c r="E41" s="22">
        <f t="shared" si="1"/>
        <v>0</v>
      </c>
      <c r="F41" s="12" t="s">
        <v>96</v>
      </c>
      <c r="G41" s="30"/>
      <c r="H41" s="29"/>
      <c r="I41" s="26"/>
      <c r="J41" s="4">
        <v>10.0</v>
      </c>
      <c r="K41" s="31" t="s">
        <v>162</v>
      </c>
      <c r="L41" s="27" t="s">
        <v>185</v>
      </c>
      <c r="M41" s="4">
        <v>30.0</v>
      </c>
      <c r="N41" s="28" t="str">
        <f>VLOOKUP(L41,Insumos!$A$2:$C$67,2)</f>
        <v>PEPEREONY</v>
      </c>
    </row>
    <row r="42">
      <c r="A42" s="19">
        <f>VLOOKUP(B42,Productos!$A$2:$D$84,4,0)</f>
        <v>9000</v>
      </c>
      <c r="B42" s="20">
        <v>41.0</v>
      </c>
      <c r="C42" s="12" t="s">
        <v>99</v>
      </c>
      <c r="D42" s="20"/>
      <c r="E42" s="22">
        <f t="shared" si="1"/>
        <v>0</v>
      </c>
      <c r="F42" s="12" t="s">
        <v>49</v>
      </c>
      <c r="G42" s="37"/>
      <c r="H42" s="29"/>
      <c r="I42" s="29"/>
      <c r="J42" s="4">
        <v>11.0</v>
      </c>
      <c r="K42" s="4" t="s">
        <v>163</v>
      </c>
      <c r="L42" s="27" t="s">
        <v>187</v>
      </c>
      <c r="M42" s="4">
        <v>1.0</v>
      </c>
      <c r="N42" s="28" t="str">
        <f>VLOOKUP(L42,Insumos!$A$2:$C$67,2)</f>
        <v>PAN HAMBURGUESA</v>
      </c>
    </row>
    <row r="43">
      <c r="A43" s="19">
        <f>VLOOKUP(B43,Productos!$A$2:$D$84,4,0)</f>
        <v>9000</v>
      </c>
      <c r="B43" s="20">
        <v>42.0</v>
      </c>
      <c r="C43" s="12" t="s">
        <v>200</v>
      </c>
      <c r="D43" s="20"/>
      <c r="E43" s="22">
        <f t="shared" si="1"/>
        <v>0</v>
      </c>
      <c r="F43" s="12" t="s">
        <v>97</v>
      </c>
      <c r="G43" s="37"/>
      <c r="H43" s="29"/>
      <c r="I43" s="26"/>
      <c r="J43" s="4">
        <v>11.0</v>
      </c>
      <c r="K43" s="4" t="s">
        <v>163</v>
      </c>
      <c r="L43" s="27" t="s">
        <v>188</v>
      </c>
      <c r="M43" s="4">
        <v>1.0</v>
      </c>
      <c r="N43" s="28" t="str">
        <f>VLOOKUP(L43,Insumos!$A$2:$C$67,2)</f>
        <v>CARNE HAMBURGUESA</v>
      </c>
    </row>
    <row r="44">
      <c r="A44" s="19">
        <f>VLOOKUP(B44,Productos!$A$2:$D$84,4,0)</f>
        <v>8000</v>
      </c>
      <c r="B44" s="20">
        <v>43.0</v>
      </c>
      <c r="C44" s="12" t="s">
        <v>95</v>
      </c>
      <c r="D44" s="20"/>
      <c r="E44" s="22">
        <f t="shared" si="1"/>
        <v>0</v>
      </c>
      <c r="F44" s="12" t="s">
        <v>98</v>
      </c>
      <c r="G44" s="30"/>
      <c r="H44" s="29"/>
      <c r="I44" s="26"/>
      <c r="J44" s="4">
        <v>11.0</v>
      </c>
      <c r="K44" s="4" t="s">
        <v>163</v>
      </c>
      <c r="L44" s="27" t="s">
        <v>189</v>
      </c>
      <c r="M44" s="4">
        <v>25.0</v>
      </c>
      <c r="N44" s="28" t="str">
        <f>VLOOKUP(L44,Insumos!$A$2:$C$67,2)</f>
        <v>QUESO TAJADO</v>
      </c>
    </row>
    <row r="45">
      <c r="A45" s="19">
        <f>VLOOKUP(B45,Productos!$A$2:$D$84,4,0)</f>
        <v>3000</v>
      </c>
      <c r="B45" s="20">
        <v>44.0</v>
      </c>
      <c r="C45" s="12" t="s">
        <v>96</v>
      </c>
      <c r="D45" s="21"/>
      <c r="E45" s="22">
        <f t="shared" si="1"/>
        <v>0</v>
      </c>
      <c r="F45" s="7" t="s">
        <v>99</v>
      </c>
      <c r="G45" s="30"/>
      <c r="H45" s="29"/>
      <c r="I45" s="26"/>
      <c r="J45" s="4">
        <v>11.0</v>
      </c>
      <c r="K45" s="4" t="s">
        <v>163</v>
      </c>
      <c r="L45" s="27" t="s">
        <v>190</v>
      </c>
      <c r="M45" s="4">
        <v>30.0</v>
      </c>
      <c r="N45" s="28" t="str">
        <f>VLOOKUP(L45,Insumos!$A$2:$C$67,2)</f>
        <v>TOCINETA</v>
      </c>
    </row>
    <row r="46">
      <c r="A46" s="19">
        <f>VLOOKUP(B46,Productos!$A$2:$D$84,4,0)</f>
        <v>9000</v>
      </c>
      <c r="B46" s="20">
        <v>45.0</v>
      </c>
      <c r="C46" s="12" t="s">
        <v>203</v>
      </c>
      <c r="D46" s="21"/>
      <c r="E46" s="22">
        <f t="shared" si="1"/>
        <v>0</v>
      </c>
      <c r="F46" s="7" t="s">
        <v>204</v>
      </c>
      <c r="G46" s="37"/>
      <c r="H46" s="26"/>
      <c r="I46" s="26"/>
      <c r="J46" s="4">
        <v>12.0</v>
      </c>
      <c r="K46" s="31" t="s">
        <v>166</v>
      </c>
      <c r="L46" s="27" t="s">
        <v>187</v>
      </c>
      <c r="M46" s="4">
        <v>1.0</v>
      </c>
      <c r="N46" s="28" t="str">
        <f>VLOOKUP(L46,Insumos!$A$2:$C$67,2)</f>
        <v>PAN HAMBURGUESA</v>
      </c>
    </row>
    <row r="47">
      <c r="A47" s="19">
        <f>VLOOKUP(B47,Productos!$A$2:$D$84,4,0)</f>
        <v>5500</v>
      </c>
      <c r="B47" s="20">
        <v>46.0</v>
      </c>
      <c r="C47" s="12" t="s">
        <v>97</v>
      </c>
      <c r="D47" s="21"/>
      <c r="E47" s="22">
        <f t="shared" si="1"/>
        <v>0</v>
      </c>
      <c r="F47" s="7" t="s">
        <v>100</v>
      </c>
      <c r="G47" s="37"/>
      <c r="H47" s="29"/>
      <c r="I47" s="26"/>
      <c r="J47" s="4">
        <v>12.0</v>
      </c>
      <c r="K47" s="31" t="s">
        <v>166</v>
      </c>
      <c r="L47" s="27" t="s">
        <v>191</v>
      </c>
      <c r="M47" s="4">
        <v>1.0</v>
      </c>
      <c r="N47" s="28" t="str">
        <f>VLOOKUP(L47,Insumos!$A$2:$C$67,2)</f>
        <v>POLLO HAMBURGUESA</v>
      </c>
    </row>
    <row r="48">
      <c r="A48" s="19">
        <f>VLOOKUP(B48,Productos!$A$2:$D$84,4,0)</f>
        <v>3500</v>
      </c>
      <c r="B48" s="20">
        <v>47.0</v>
      </c>
      <c r="C48" s="12" t="s">
        <v>98</v>
      </c>
      <c r="D48" s="21"/>
      <c r="E48" s="22">
        <f t="shared" si="1"/>
        <v>0</v>
      </c>
      <c r="F48" s="7" t="s">
        <v>101</v>
      </c>
      <c r="G48" s="37"/>
      <c r="H48" s="29"/>
      <c r="I48" s="26"/>
      <c r="J48" s="4">
        <v>12.0</v>
      </c>
      <c r="K48" s="31" t="s">
        <v>166</v>
      </c>
      <c r="L48" s="27" t="s">
        <v>189</v>
      </c>
      <c r="M48" s="4">
        <v>25.0</v>
      </c>
      <c r="N48" s="28" t="str">
        <f>VLOOKUP(L48,Insumos!$A$2:$C$67,2)</f>
        <v>QUESO TAJADO</v>
      </c>
    </row>
    <row r="49">
      <c r="A49" s="19">
        <f>VLOOKUP(B49,Productos!$A$2:$D$84,4,0)</f>
        <v>11000</v>
      </c>
      <c r="B49" s="20">
        <v>48.0</v>
      </c>
      <c r="C49" s="12" t="s">
        <v>209</v>
      </c>
      <c r="D49" s="21"/>
      <c r="E49" s="22">
        <f t="shared" si="1"/>
        <v>0</v>
      </c>
      <c r="F49" s="7" t="s">
        <v>102</v>
      </c>
      <c r="G49" s="30"/>
      <c r="H49" s="29"/>
      <c r="I49" s="26"/>
      <c r="J49" s="4">
        <v>12.0</v>
      </c>
      <c r="K49" s="31" t="s">
        <v>166</v>
      </c>
      <c r="L49" s="27" t="s">
        <v>190</v>
      </c>
      <c r="M49" s="4">
        <v>30.0</v>
      </c>
      <c r="N49" s="28" t="str">
        <f>VLOOKUP(L49,Insumos!$A$2:$C$67,2)</f>
        <v>TOCINETA</v>
      </c>
    </row>
    <row r="50">
      <c r="A50" s="19">
        <f>VLOOKUP(B50,Productos!$A$2:$D$84,4,0)</f>
        <v>3000</v>
      </c>
      <c r="B50" s="20">
        <v>49.0</v>
      </c>
      <c r="C50" s="12" t="s">
        <v>211</v>
      </c>
      <c r="D50" s="21"/>
      <c r="E50" s="22">
        <f t="shared" si="1"/>
        <v>0</v>
      </c>
      <c r="F50" s="7" t="s">
        <v>121</v>
      </c>
      <c r="G50" s="37"/>
      <c r="H50" s="26"/>
      <c r="I50" s="26"/>
      <c r="J50" s="4">
        <v>13.0</v>
      </c>
      <c r="K50" s="31" t="s">
        <v>167</v>
      </c>
      <c r="L50" s="27" t="s">
        <v>187</v>
      </c>
      <c r="M50" s="4">
        <v>1.0</v>
      </c>
      <c r="N50" s="28" t="str">
        <f>VLOOKUP(L50,Insumos!$A$2:$C$67,2)</f>
        <v>PAN HAMBURGUESA</v>
      </c>
    </row>
    <row r="51">
      <c r="A51" s="19">
        <f>VLOOKUP(B51,Productos!$A$2:$D$84,4,0)</f>
        <v>14000</v>
      </c>
      <c r="B51" s="20">
        <v>50.0</v>
      </c>
      <c r="C51" s="12" t="s">
        <v>212</v>
      </c>
      <c r="D51" s="21"/>
      <c r="E51" s="22">
        <f t="shared" si="1"/>
        <v>0</v>
      </c>
      <c r="F51" s="7" t="s">
        <v>124</v>
      </c>
      <c r="G51" s="37"/>
      <c r="H51" s="26"/>
      <c r="I51" s="26"/>
      <c r="J51" s="4">
        <v>13.0</v>
      </c>
      <c r="K51" s="31" t="s">
        <v>167</v>
      </c>
      <c r="L51" s="27" t="s">
        <v>188</v>
      </c>
      <c r="M51" s="4">
        <v>2.0</v>
      </c>
      <c r="N51" s="28" t="str">
        <f>VLOOKUP(L51,Insumos!$A$2:$C$67,2)</f>
        <v>CARNE HAMBURGUESA</v>
      </c>
    </row>
    <row r="52">
      <c r="A52" s="19">
        <f>VLOOKUP(B52,Productos!$A$2:$D$84,4,0)</f>
        <v>5000</v>
      </c>
      <c r="B52" s="20">
        <v>51.0</v>
      </c>
      <c r="C52" s="12" t="s">
        <v>214</v>
      </c>
      <c r="D52" s="7"/>
      <c r="E52" s="22">
        <f t="shared" si="1"/>
        <v>0</v>
      </c>
      <c r="F52" s="7" t="s">
        <v>125</v>
      </c>
      <c r="G52" s="37">
        <f>(D8*30)</f>
        <v>30</v>
      </c>
      <c r="H52" s="29"/>
      <c r="I52" s="26"/>
      <c r="J52" s="4">
        <v>13.0</v>
      </c>
      <c r="K52" s="31" t="s">
        <v>167</v>
      </c>
      <c r="L52" s="27" t="s">
        <v>189</v>
      </c>
      <c r="M52" s="4">
        <v>50.0</v>
      </c>
      <c r="N52" s="28" t="str">
        <f>VLOOKUP(L52,Insumos!$A$2:$C$67,2)</f>
        <v>QUESO TAJADO</v>
      </c>
    </row>
    <row r="53">
      <c r="A53" s="19">
        <f>VLOOKUP(B53,Productos!$A$2:$D$84,4,0)</f>
        <v>24000</v>
      </c>
      <c r="B53" s="20">
        <v>52.0</v>
      </c>
      <c r="C53" s="12" t="s">
        <v>217</v>
      </c>
      <c r="D53" s="7"/>
      <c r="E53" s="22">
        <f t="shared" si="1"/>
        <v>0</v>
      </c>
      <c r="F53" s="7" t="s">
        <v>51</v>
      </c>
      <c r="G53" s="40"/>
      <c r="H53" s="29"/>
      <c r="I53" s="29"/>
      <c r="J53" s="4">
        <v>13.0</v>
      </c>
      <c r="K53" s="31" t="s">
        <v>167</v>
      </c>
      <c r="L53" s="27" t="s">
        <v>190</v>
      </c>
      <c r="M53" s="4">
        <v>60.0</v>
      </c>
      <c r="N53" s="28" t="str">
        <f>VLOOKUP(L53,Insumos!$A$2:$C$67,2)</f>
        <v>TOCINETA</v>
      </c>
    </row>
    <row r="54">
      <c r="A54" s="19">
        <f>VLOOKUP(B54,Productos!$A$2:$D$84,4,0)</f>
        <v>33000</v>
      </c>
      <c r="B54" s="20">
        <v>53.0</v>
      </c>
      <c r="C54" s="12" t="s">
        <v>221</v>
      </c>
      <c r="D54" s="7"/>
      <c r="E54" s="22">
        <f t="shared" si="1"/>
        <v>0</v>
      </c>
      <c r="F54" s="7" t="s">
        <v>127</v>
      </c>
      <c r="G54" s="41"/>
      <c r="H54" s="26"/>
      <c r="I54" s="26"/>
      <c r="J54" s="4">
        <v>14.0</v>
      </c>
      <c r="K54" s="31" t="s">
        <v>168</v>
      </c>
      <c r="L54" s="27" t="s">
        <v>187</v>
      </c>
      <c r="M54" s="4">
        <v>1.0</v>
      </c>
      <c r="N54" s="28" t="str">
        <f>VLOOKUP(L54,Insumos!$A$2:$C$67,2)</f>
        <v>PAN HAMBURGUESA</v>
      </c>
    </row>
    <row r="55">
      <c r="A55" s="19">
        <f>VLOOKUP(B55,Productos!$A$2:$D$84,4,0)</f>
        <v>3500</v>
      </c>
      <c r="B55" s="20">
        <v>54.0</v>
      </c>
      <c r="C55" s="12" t="s">
        <v>224</v>
      </c>
      <c r="D55" s="7"/>
      <c r="E55" s="22">
        <f t="shared" si="1"/>
        <v>0</v>
      </c>
      <c r="F55" s="7" t="s">
        <v>128</v>
      </c>
      <c r="G55" s="40"/>
      <c r="H55" s="29"/>
      <c r="I55" s="26"/>
      <c r="J55" s="4">
        <v>14.0</v>
      </c>
      <c r="K55" s="31" t="s">
        <v>168</v>
      </c>
      <c r="L55" s="27" t="s">
        <v>188</v>
      </c>
      <c r="M55" s="4">
        <v>1.0</v>
      </c>
      <c r="N55" s="28" t="str">
        <f>VLOOKUP(L55,Insumos!$A$2:$C$67,2)</f>
        <v>CARNE HAMBURGUESA</v>
      </c>
    </row>
    <row r="56">
      <c r="A56" s="19">
        <f>VLOOKUP(B56,Productos!$A$2:$D$84,4,0)</f>
        <v>38000</v>
      </c>
      <c r="B56" s="20">
        <v>55.0</v>
      </c>
      <c r="C56" s="12" t="s">
        <v>227</v>
      </c>
      <c r="D56" s="7"/>
      <c r="E56" s="22">
        <f t="shared" si="1"/>
        <v>0</v>
      </c>
      <c r="F56" s="7" t="s">
        <v>132</v>
      </c>
      <c r="G56" s="41"/>
      <c r="H56" s="26"/>
      <c r="I56" s="26"/>
      <c r="J56" s="4">
        <v>14.0</v>
      </c>
      <c r="K56" s="31" t="s">
        <v>168</v>
      </c>
      <c r="L56" s="27" t="s">
        <v>189</v>
      </c>
      <c r="M56" s="4">
        <v>50.0</v>
      </c>
      <c r="N56" s="28" t="str">
        <f>VLOOKUP(L56,Insumos!$A$2:$C$67,2)</f>
        <v>QUESO TAJADO</v>
      </c>
    </row>
    <row r="57">
      <c r="A57" s="19">
        <f>VLOOKUP(B57,Productos!$A$2:$D$84,4,0)</f>
        <v>24000</v>
      </c>
      <c r="B57" s="20">
        <v>56.0</v>
      </c>
      <c r="C57" s="12" t="s">
        <v>84</v>
      </c>
      <c r="D57" s="7"/>
      <c r="E57" s="22">
        <f t="shared" si="1"/>
        <v>0</v>
      </c>
      <c r="F57" s="7" t="s">
        <v>103</v>
      </c>
      <c r="G57" s="41"/>
      <c r="H57" s="29"/>
      <c r="I57" s="26"/>
      <c r="J57" s="4">
        <v>14.0</v>
      </c>
      <c r="K57" s="31" t="s">
        <v>168</v>
      </c>
      <c r="L57" s="27" t="s">
        <v>190</v>
      </c>
      <c r="M57" s="4">
        <v>60.0</v>
      </c>
      <c r="N57" s="28" t="str">
        <f>VLOOKUP(L57,Insumos!$A$2:$C$67,2)</f>
        <v>TOCINETA</v>
      </c>
    </row>
    <row r="58">
      <c r="A58" s="19">
        <f>VLOOKUP(B58,Productos!$A$2:$D$84,4,0)</f>
        <v>28000</v>
      </c>
      <c r="B58" s="20">
        <v>57.0</v>
      </c>
      <c r="C58" s="12" t="s">
        <v>233</v>
      </c>
      <c r="D58" s="7"/>
      <c r="E58" s="22">
        <f t="shared" si="1"/>
        <v>0</v>
      </c>
      <c r="F58" s="7" t="s">
        <v>104</v>
      </c>
      <c r="G58" s="41"/>
      <c r="H58" s="29"/>
      <c r="I58" s="26"/>
      <c r="J58" s="4">
        <v>14.0</v>
      </c>
      <c r="K58" s="31" t="s">
        <v>168</v>
      </c>
      <c r="L58" s="27" t="s">
        <v>191</v>
      </c>
      <c r="M58" s="4">
        <v>1.0</v>
      </c>
      <c r="N58" s="28" t="str">
        <f>VLOOKUP(L58,Insumos!$A$2:$C$67,2)</f>
        <v>POLLO HAMBURGUESA</v>
      </c>
    </row>
    <row r="59">
      <c r="A59" s="19">
        <f>VLOOKUP(B59,Productos!$A$2:$D$84,4,0)</f>
        <v>32000</v>
      </c>
      <c r="B59" s="20">
        <v>58.0</v>
      </c>
      <c r="C59" s="12" t="s">
        <v>104</v>
      </c>
      <c r="D59" s="7"/>
      <c r="E59" s="22">
        <f t="shared" si="1"/>
        <v>0</v>
      </c>
      <c r="F59" s="7" t="s">
        <v>134</v>
      </c>
      <c r="G59" s="41"/>
      <c r="H59" s="26"/>
      <c r="I59" s="26"/>
      <c r="J59" s="4">
        <v>15.0</v>
      </c>
      <c r="K59" s="31" t="s">
        <v>170</v>
      </c>
      <c r="L59" s="27" t="s">
        <v>193</v>
      </c>
      <c r="M59" s="4">
        <v>1.0</v>
      </c>
      <c r="N59" s="28" t="str">
        <f>VLOOKUP(L59,Insumos!$A$2:$C$67,2)</f>
        <v>PAN PERRO</v>
      </c>
    </row>
    <row r="60">
      <c r="A60" s="19">
        <f>VLOOKUP(B60,Productos!$A$2:$D$84,4,0)</f>
        <v>12000</v>
      </c>
      <c r="B60" s="20">
        <v>59.0</v>
      </c>
      <c r="C60" s="12" t="s">
        <v>236</v>
      </c>
      <c r="D60" s="7"/>
      <c r="E60" s="22">
        <f t="shared" si="1"/>
        <v>0</v>
      </c>
      <c r="F60" s="7" t="s">
        <v>107</v>
      </c>
      <c r="G60" s="29"/>
      <c r="H60" s="29"/>
      <c r="I60" s="26"/>
      <c r="J60" s="4">
        <v>15.0</v>
      </c>
      <c r="K60" s="31" t="s">
        <v>170</v>
      </c>
      <c r="L60" s="27" t="s">
        <v>194</v>
      </c>
      <c r="M60" s="4">
        <v>1.0</v>
      </c>
      <c r="N60" s="28" t="str">
        <f>VLOOKUP(L60,Insumos!$A$2:$C$67,2)</f>
        <v>SALCHICHA AMERICANA</v>
      </c>
    </row>
    <row r="61">
      <c r="A61" s="19">
        <f>VLOOKUP(B61,Productos!$A$2:$D$84,4,0)</f>
        <v>15000</v>
      </c>
      <c r="B61" s="20">
        <v>60.0</v>
      </c>
      <c r="C61" s="12" t="s">
        <v>237</v>
      </c>
      <c r="D61" s="7"/>
      <c r="E61" s="22">
        <f t="shared" si="1"/>
        <v>0</v>
      </c>
      <c r="F61" s="7" t="s">
        <v>199</v>
      </c>
      <c r="G61" s="29"/>
      <c r="H61" s="29"/>
      <c r="I61" s="42"/>
      <c r="J61" s="4">
        <v>15.0</v>
      </c>
      <c r="K61" s="31" t="s">
        <v>170</v>
      </c>
      <c r="L61" s="27" t="s">
        <v>136</v>
      </c>
      <c r="M61" s="4">
        <v>25.0</v>
      </c>
      <c r="N61" s="28" t="str">
        <f>VLOOKUP(L61,Insumos!$A$2:$C$67,2)</f>
        <v>JAMON</v>
      </c>
    </row>
    <row r="62">
      <c r="A62" s="19">
        <f>VLOOKUP(B62,Productos!$A$2:$D$84,4,0)</f>
        <v>12000</v>
      </c>
      <c r="B62" s="20">
        <v>61.0</v>
      </c>
      <c r="C62" s="12" t="s">
        <v>238</v>
      </c>
      <c r="E62" s="22">
        <f t="shared" si="1"/>
        <v>0</v>
      </c>
      <c r="F62" s="1" t="s">
        <v>214</v>
      </c>
      <c r="G62" s="29"/>
      <c r="H62" s="43"/>
      <c r="I62" s="43"/>
      <c r="J62" s="4">
        <v>15.0</v>
      </c>
      <c r="K62" s="31" t="s">
        <v>170</v>
      </c>
      <c r="L62" s="27" t="s">
        <v>189</v>
      </c>
      <c r="M62" s="4">
        <v>25.0</v>
      </c>
      <c r="N62" s="28" t="str">
        <f>VLOOKUP(L62,Insumos!$A$2:$C$67,2)</f>
        <v>QUESO TAJADO</v>
      </c>
    </row>
    <row r="63">
      <c r="A63" s="19">
        <f>VLOOKUP(B63,Productos!$A$2:$D$84,4,0)</f>
        <v>29000</v>
      </c>
      <c r="B63" s="20">
        <v>62.0</v>
      </c>
      <c r="C63" s="12" t="s">
        <v>240</v>
      </c>
      <c r="E63" s="22">
        <f t="shared" si="1"/>
        <v>0</v>
      </c>
      <c r="F63" s="1" t="s">
        <v>238</v>
      </c>
      <c r="G63" s="29"/>
      <c r="H63" s="43"/>
      <c r="I63" s="43"/>
      <c r="J63" s="4">
        <v>16.0</v>
      </c>
      <c r="K63" s="31" t="s">
        <v>172</v>
      </c>
      <c r="L63" s="27" t="s">
        <v>193</v>
      </c>
      <c r="M63" s="4">
        <v>1.0</v>
      </c>
      <c r="N63" s="28" t="str">
        <f>VLOOKUP(L63,Insumos!$A$2:$C$67,2)</f>
        <v>PAN PERRO</v>
      </c>
    </row>
    <row r="64">
      <c r="A64" s="19">
        <f>VLOOKUP(B64,Productos!$A$2:$D$84,4,0)</f>
        <v>7000</v>
      </c>
      <c r="B64" s="20">
        <v>63.0</v>
      </c>
      <c r="C64" s="12" t="s">
        <v>242</v>
      </c>
      <c r="E64" s="22">
        <f t="shared" si="1"/>
        <v>0</v>
      </c>
      <c r="F64" s="1" t="s">
        <v>243</v>
      </c>
      <c r="G64" s="29"/>
      <c r="H64" s="43"/>
      <c r="I64" s="43"/>
      <c r="J64" s="4">
        <v>16.0</v>
      </c>
      <c r="K64" s="31" t="s">
        <v>172</v>
      </c>
      <c r="L64" s="27" t="s">
        <v>196</v>
      </c>
      <c r="M64" s="4">
        <v>1.0</v>
      </c>
      <c r="N64" s="28" t="str">
        <f>VLOOKUP(L64,Insumos!$A$2:$C$67,2)</f>
        <v>SALCHICHA SUIZA</v>
      </c>
    </row>
    <row r="65">
      <c r="A65" s="19">
        <f>VLOOKUP(B65,Productos!$A$2:$D$84,4,0)</f>
        <v>9000</v>
      </c>
      <c r="B65" s="20">
        <v>64.0</v>
      </c>
      <c r="C65" s="12" t="s">
        <v>245</v>
      </c>
      <c r="E65" s="22">
        <f t="shared" si="1"/>
        <v>0</v>
      </c>
      <c r="F65" s="1" t="s">
        <v>246</v>
      </c>
      <c r="G65" s="29"/>
      <c r="H65" s="43"/>
      <c r="I65" s="43"/>
      <c r="J65" s="4">
        <v>16.0</v>
      </c>
      <c r="K65" s="31" t="s">
        <v>172</v>
      </c>
      <c r="L65" s="27" t="s">
        <v>136</v>
      </c>
      <c r="M65" s="4">
        <v>50.0</v>
      </c>
      <c r="N65" s="28" t="str">
        <f>VLOOKUP(L65,Insumos!$A$2:$C$67,2)</f>
        <v>JAMON</v>
      </c>
    </row>
    <row r="66">
      <c r="A66" s="19">
        <f>VLOOKUP(B66,Productos!$A$2:$D$84,4,0)</f>
        <v>12000</v>
      </c>
      <c r="B66" s="20">
        <v>65.0</v>
      </c>
      <c r="C66" s="12" t="s">
        <v>247</v>
      </c>
      <c r="E66" s="22">
        <f t="shared" si="1"/>
        <v>0</v>
      </c>
      <c r="F66" s="1" t="s">
        <v>248</v>
      </c>
      <c r="G66" s="29"/>
      <c r="H66" s="43"/>
      <c r="I66" s="43"/>
      <c r="J66" s="4">
        <v>16.0</v>
      </c>
      <c r="K66" s="31" t="s">
        <v>172</v>
      </c>
      <c r="L66" s="27" t="s">
        <v>189</v>
      </c>
      <c r="M66" s="4">
        <v>25.0</v>
      </c>
      <c r="N66" s="28" t="str">
        <f>VLOOKUP(L66,Insumos!$A$2:$C$67,2)</f>
        <v>QUESO TAJADO</v>
      </c>
    </row>
    <row r="67">
      <c r="A67" s="19">
        <f>VLOOKUP(B67,Productos!$A$2:$D$84,4,0)</f>
        <v>15000</v>
      </c>
      <c r="B67" s="20">
        <v>66.0</v>
      </c>
      <c r="C67" s="12" t="s">
        <v>249</v>
      </c>
      <c r="E67" s="22">
        <f t="shared" si="1"/>
        <v>0</v>
      </c>
      <c r="F67" s="1" t="s">
        <v>250</v>
      </c>
      <c r="G67" s="29"/>
      <c r="H67" s="43"/>
      <c r="I67" s="43"/>
      <c r="J67" s="4">
        <v>16.0</v>
      </c>
      <c r="K67" s="31" t="s">
        <v>172</v>
      </c>
      <c r="L67" s="27" t="s">
        <v>173</v>
      </c>
      <c r="M67" s="4">
        <v>50.0</v>
      </c>
      <c r="N67" s="28" t="str">
        <f>VLOOKUP(L67,Insumos!$A$2:$C$67,2)</f>
        <v>MAZORCA</v>
      </c>
    </row>
    <row r="68">
      <c r="A68" s="19">
        <f>VLOOKUP(B68,Productos!$A$2:$D$84,4,0)</f>
        <v>3500</v>
      </c>
      <c r="B68" s="20">
        <v>67.0</v>
      </c>
      <c r="C68" s="12" t="s">
        <v>251</v>
      </c>
      <c r="E68" s="22">
        <f t="shared" si="1"/>
        <v>0</v>
      </c>
      <c r="F68" s="1" t="s">
        <v>252</v>
      </c>
      <c r="G68" s="29"/>
      <c r="H68" s="43"/>
      <c r="I68" s="43"/>
      <c r="J68" s="4">
        <v>17.0</v>
      </c>
      <c r="K68" s="31" t="s">
        <v>174</v>
      </c>
      <c r="L68" s="27" t="s">
        <v>193</v>
      </c>
      <c r="M68" s="4">
        <v>1.0</v>
      </c>
      <c r="N68" s="28" t="str">
        <f>VLOOKUP(L68,Insumos!$A$2:$C$67,2)</f>
        <v>PAN PERRO</v>
      </c>
    </row>
    <row r="69">
      <c r="A69" s="19">
        <f>VLOOKUP(B69,Productos!$A$2:$D$84,4,0)</f>
        <v>50000</v>
      </c>
      <c r="B69" s="20">
        <v>68.0</v>
      </c>
      <c r="C69" s="12" t="s">
        <v>253</v>
      </c>
      <c r="E69" s="22">
        <f t="shared" si="1"/>
        <v>0</v>
      </c>
      <c r="F69" s="4" t="s">
        <v>256</v>
      </c>
      <c r="G69" s="43">
        <f>SUM(D3:D12)</f>
        <v>1</v>
      </c>
      <c r="H69" s="43"/>
      <c r="I69" s="43"/>
      <c r="J69" s="4">
        <v>17.0</v>
      </c>
      <c r="K69" s="31" t="s">
        <v>174</v>
      </c>
      <c r="L69" s="27" t="s">
        <v>197</v>
      </c>
      <c r="M69" s="4">
        <v>1.0</v>
      </c>
      <c r="N69" s="28" t="str">
        <f>VLOOKUP(L69,Insumos!$A$2:$C$67,2)</f>
        <v>CHORIZOS</v>
      </c>
    </row>
    <row r="70">
      <c r="A70" s="19">
        <f>VLOOKUP(B70,Productos!$A$2:$D$84,4,0)</f>
        <v>65000</v>
      </c>
      <c r="B70" s="20">
        <v>69.0</v>
      </c>
      <c r="C70" s="12" t="s">
        <v>260</v>
      </c>
      <c r="E70" s="22">
        <f t="shared" si="1"/>
        <v>0</v>
      </c>
      <c r="G70" s="43"/>
      <c r="H70" s="43"/>
      <c r="I70" s="43"/>
      <c r="J70" s="4">
        <v>17.0</v>
      </c>
      <c r="K70" s="31" t="s">
        <v>174</v>
      </c>
      <c r="L70" s="27" t="s">
        <v>190</v>
      </c>
      <c r="M70" s="4">
        <v>30.0</v>
      </c>
      <c r="N70" s="28" t="str">
        <f>VLOOKUP(L70,Insumos!$A$2:$C$67,2)</f>
        <v>TOCINETA</v>
      </c>
    </row>
    <row r="71">
      <c r="A71" s="19">
        <f>VLOOKUP(B71,Productos!$A$2:$D$84,4,0)</f>
        <v>80000</v>
      </c>
      <c r="B71" s="20">
        <v>70.0</v>
      </c>
      <c r="C71" s="12" t="s">
        <v>262</v>
      </c>
      <c r="E71" s="22">
        <f t="shared" si="1"/>
        <v>0</v>
      </c>
      <c r="G71" s="43"/>
      <c r="H71" s="43"/>
      <c r="I71" s="43"/>
      <c r="J71" s="4">
        <v>17.0</v>
      </c>
      <c r="K71" s="31" t="s">
        <v>174</v>
      </c>
      <c r="L71" s="27" t="s">
        <v>189</v>
      </c>
      <c r="M71" s="4">
        <v>25.0</v>
      </c>
      <c r="N71" s="28" t="str">
        <f>VLOOKUP(L71,Insumos!$A$2:$C$67,2)</f>
        <v>QUESO TAJADO</v>
      </c>
    </row>
    <row r="72">
      <c r="A72" s="19">
        <f>VLOOKUP(B72,Productos!$A$2:$D$84,4,0)</f>
        <v>9000</v>
      </c>
      <c r="B72" s="20">
        <v>71.0</v>
      </c>
      <c r="C72" s="12" t="s">
        <v>263</v>
      </c>
      <c r="E72" s="22">
        <f t="shared" si="1"/>
        <v>0</v>
      </c>
      <c r="G72" s="43"/>
      <c r="H72" s="43"/>
      <c r="I72" s="43"/>
      <c r="J72" s="4">
        <v>17.0</v>
      </c>
      <c r="K72" s="31" t="s">
        <v>174</v>
      </c>
      <c r="L72" s="27" t="s">
        <v>173</v>
      </c>
      <c r="M72" s="4">
        <v>50.0</v>
      </c>
      <c r="N72" s="28" t="str">
        <f>VLOOKUP(L72,Insumos!$A$2:$C$67,2)</f>
        <v>MAZORCA</v>
      </c>
    </row>
    <row r="73">
      <c r="A73" s="19">
        <f>VLOOKUP(B73,Productos!$A$2:$D$84,4,0)</f>
        <v>13000</v>
      </c>
      <c r="B73" s="20">
        <v>72.0</v>
      </c>
      <c r="C73" s="12" t="s">
        <v>265</v>
      </c>
      <c r="E73" s="22">
        <f t="shared" si="1"/>
        <v>0</v>
      </c>
      <c r="G73" s="43"/>
      <c r="H73" s="43"/>
      <c r="I73" s="43"/>
      <c r="J73" s="4">
        <v>18.0</v>
      </c>
      <c r="K73" s="31" t="s">
        <v>176</v>
      </c>
      <c r="L73" s="27" t="s">
        <v>198</v>
      </c>
      <c r="M73" s="4">
        <v>300.0</v>
      </c>
      <c r="N73" s="28" t="str">
        <f>VLOOKUP(L73,Insumos!$A$2:$C$67,2)</f>
        <v>PAPA FRANCESA</v>
      </c>
    </row>
    <row r="74">
      <c r="A74" s="19">
        <f>VLOOKUP(B74,Productos!$A$2:$D$84,4,0)</f>
        <v>5000</v>
      </c>
      <c r="B74" s="20">
        <v>73.0</v>
      </c>
      <c r="C74" s="12" t="s">
        <v>38</v>
      </c>
      <c r="E74" s="22">
        <f t="shared" si="1"/>
        <v>0</v>
      </c>
      <c r="J74" s="4">
        <v>18.0</v>
      </c>
      <c r="K74" s="31" t="s">
        <v>176</v>
      </c>
      <c r="L74" s="27" t="s">
        <v>194</v>
      </c>
      <c r="M74" s="4">
        <v>2.0</v>
      </c>
      <c r="N74" s="28" t="str">
        <f>VLOOKUP(L74,Insumos!$A$2:$C$67,2)</f>
        <v>SALCHICHA AMERICANA</v>
      </c>
    </row>
    <row r="75">
      <c r="A75" s="19">
        <f>VLOOKUP(B75,Productos!$A$2:$D$84,4,0)</f>
        <v>2000</v>
      </c>
      <c r="B75" s="20">
        <v>74.0</v>
      </c>
      <c r="C75" s="12" t="s">
        <v>243</v>
      </c>
      <c r="E75" s="22">
        <f t="shared" si="1"/>
        <v>0</v>
      </c>
      <c r="J75" s="4">
        <v>18.0</v>
      </c>
      <c r="K75" s="31" t="s">
        <v>176</v>
      </c>
      <c r="L75" s="27" t="s">
        <v>189</v>
      </c>
      <c r="M75" s="4">
        <v>50.0</v>
      </c>
      <c r="N75" s="28" t="str">
        <f>VLOOKUP(L75,Insumos!$A$2:$C$67,2)</f>
        <v>QUESO TAJADO</v>
      </c>
    </row>
    <row r="76">
      <c r="A76" s="19">
        <f>VLOOKUP(B76,Productos!$A$2:$D$84,4,0)</f>
        <v>5000</v>
      </c>
      <c r="B76" s="20">
        <v>75.0</v>
      </c>
      <c r="C76" s="12" t="s">
        <v>246</v>
      </c>
      <c r="E76" s="22">
        <f t="shared" si="1"/>
        <v>0</v>
      </c>
      <c r="J76" s="4">
        <v>19.0</v>
      </c>
      <c r="K76" s="31" t="s">
        <v>177</v>
      </c>
      <c r="L76" s="27" t="s">
        <v>198</v>
      </c>
      <c r="M76" s="4">
        <v>300.0</v>
      </c>
      <c r="N76" s="28" t="str">
        <f>VLOOKUP(L76,Insumos!$A$2:$C$67,2)</f>
        <v>PAPA FRANCESA</v>
      </c>
    </row>
    <row r="77">
      <c r="A77" s="19">
        <f>VLOOKUP(B77,Productos!$A$2:$D$84,4,0)</f>
        <v>1000</v>
      </c>
      <c r="B77" s="20">
        <v>76.0</v>
      </c>
      <c r="C77" s="12" t="s">
        <v>248</v>
      </c>
      <c r="E77" s="22">
        <f t="shared" si="1"/>
        <v>0</v>
      </c>
      <c r="J77" s="4">
        <v>19.0</v>
      </c>
      <c r="K77" s="31" t="s">
        <v>177</v>
      </c>
      <c r="L77" s="27" t="s">
        <v>194</v>
      </c>
      <c r="M77" s="4">
        <v>1.0</v>
      </c>
      <c r="N77" s="28" t="str">
        <f>VLOOKUP(L77,Insumos!$A$2:$C$67,2)</f>
        <v>SALCHICHA AMERICANA</v>
      </c>
    </row>
    <row r="78">
      <c r="A78" s="19">
        <f>VLOOKUP(B78,Productos!$A$2:$D$84,4,0)</f>
        <v>1000</v>
      </c>
      <c r="B78" s="20">
        <v>77.0</v>
      </c>
      <c r="C78" s="12" t="s">
        <v>250</v>
      </c>
      <c r="E78" s="22">
        <f t="shared" si="1"/>
        <v>0</v>
      </c>
      <c r="J78" s="4">
        <v>19.0</v>
      </c>
      <c r="K78" s="31" t="s">
        <v>177</v>
      </c>
      <c r="L78" s="27" t="s">
        <v>189</v>
      </c>
      <c r="M78" s="4">
        <v>50.0</v>
      </c>
      <c r="N78" s="28" t="str">
        <f>VLOOKUP(L78,Insumos!$A$2:$C$67,2)</f>
        <v>QUESO TAJADO</v>
      </c>
    </row>
    <row r="79">
      <c r="A79" s="19">
        <f>VLOOKUP(B79,Productos!$A$2:$D$84,4,0)</f>
        <v>10000</v>
      </c>
      <c r="B79" s="20">
        <v>78.0</v>
      </c>
      <c r="C79" s="12" t="s">
        <v>278</v>
      </c>
      <c r="E79" s="22">
        <f t="shared" si="1"/>
        <v>0</v>
      </c>
      <c r="J79" s="4">
        <v>19.0</v>
      </c>
      <c r="K79" s="31" t="s">
        <v>177</v>
      </c>
      <c r="L79" s="27" t="s">
        <v>197</v>
      </c>
      <c r="M79" s="4">
        <v>1.0</v>
      </c>
      <c r="N79" s="28" t="str">
        <f>VLOOKUP(L79,Insumos!$A$2:$C$67,2)</f>
        <v>CHORIZOS</v>
      </c>
    </row>
    <row r="80">
      <c r="A80" s="19">
        <f>VLOOKUP(B80,Productos!$A$2:$D$84,4,0)</f>
        <v>31000</v>
      </c>
      <c r="B80" s="20">
        <v>80.0</v>
      </c>
      <c r="C80" s="12" t="s">
        <v>124</v>
      </c>
      <c r="E80" s="22">
        <f t="shared" si="1"/>
        <v>0</v>
      </c>
      <c r="J80" s="4">
        <v>19.0</v>
      </c>
      <c r="K80" s="31" t="s">
        <v>177</v>
      </c>
      <c r="L80" s="27" t="s">
        <v>136</v>
      </c>
      <c r="M80" s="4">
        <v>38.0</v>
      </c>
      <c r="N80" s="28" t="str">
        <f>VLOOKUP(L80,Insumos!$A$2:$C$67,2)</f>
        <v>JAMON</v>
      </c>
    </row>
    <row r="81">
      <c r="A81" s="19">
        <f>VLOOKUP(B81,Productos!$A$2:$D$84,4,0)</f>
        <v>31000</v>
      </c>
      <c r="B81" s="20">
        <v>81.0</v>
      </c>
      <c r="C81" s="12" t="s">
        <v>279</v>
      </c>
      <c r="E81" s="22">
        <f t="shared" si="1"/>
        <v>0</v>
      </c>
      <c r="J81" s="4">
        <v>20.0</v>
      </c>
      <c r="K81" s="31" t="s">
        <v>179</v>
      </c>
      <c r="L81" s="27" t="s">
        <v>198</v>
      </c>
      <c r="M81" s="4">
        <v>150.0</v>
      </c>
      <c r="N81" s="28" t="str">
        <f>VLOOKUP(L81,Insumos!$A$2:$C$67,2)</f>
        <v>PAPA FRANCESA</v>
      </c>
    </row>
    <row r="82">
      <c r="A82" s="19">
        <f>VLOOKUP(B82,Productos!$A$2:$D$84,4,0)</f>
        <v>36000</v>
      </c>
      <c r="B82" s="20">
        <v>83.0</v>
      </c>
      <c r="C82" s="12" t="s">
        <v>280</v>
      </c>
      <c r="E82" s="22">
        <f t="shared" si="1"/>
        <v>0</v>
      </c>
      <c r="J82" s="4">
        <v>20.0</v>
      </c>
      <c r="K82" s="31" t="s">
        <v>179</v>
      </c>
      <c r="L82" s="27" t="s">
        <v>196</v>
      </c>
      <c r="M82" s="4">
        <v>1.0</v>
      </c>
      <c r="N82" s="28" t="str">
        <f>VLOOKUP(L82,Insumos!$A$2:$C$67,2)</f>
        <v>SALCHICHA SUIZA</v>
      </c>
    </row>
    <row r="83">
      <c r="A83" s="19">
        <f>VLOOKUP(B83,Productos!$A$2:$D$84,4,0)</f>
        <v>27000</v>
      </c>
      <c r="B83" s="20">
        <v>84.0</v>
      </c>
      <c r="C83" s="12" t="s">
        <v>281</v>
      </c>
      <c r="E83" s="22">
        <f t="shared" si="1"/>
        <v>0</v>
      </c>
      <c r="J83" s="4">
        <v>21.0</v>
      </c>
      <c r="K83" s="31" t="s">
        <v>180</v>
      </c>
      <c r="L83" s="27" t="s">
        <v>198</v>
      </c>
      <c r="M83" s="4">
        <v>180.0</v>
      </c>
      <c r="N83" s="28" t="str">
        <f>VLOOKUP(L83,Insumos!$A$2:$C$67,2)</f>
        <v>PAPA FRANCESA</v>
      </c>
    </row>
    <row r="84">
      <c r="A84" s="19">
        <f>VLOOKUP(B84,Productos!$A$2:$D$84,4,0)</f>
        <v>6000</v>
      </c>
      <c r="B84" s="20">
        <v>85.0</v>
      </c>
      <c r="C84" s="12" t="s">
        <v>282</v>
      </c>
      <c r="E84" s="22">
        <f t="shared" si="1"/>
        <v>0</v>
      </c>
      <c r="J84" s="4">
        <v>22.0</v>
      </c>
      <c r="K84" s="31" t="s">
        <v>181</v>
      </c>
      <c r="L84" s="27" t="s">
        <v>201</v>
      </c>
      <c r="M84" s="4">
        <v>1.0</v>
      </c>
      <c r="N84" s="28" t="str">
        <f>VLOOKUP(L84,Insumos!$A$2:$C$67,2)</f>
        <v>COSTILLITAS</v>
      </c>
    </row>
    <row r="85">
      <c r="A85" s="19">
        <f>VLOOKUP(B85,Productos!$A$2:$D$84,4,0)</f>
        <v>1000</v>
      </c>
      <c r="B85" s="20">
        <v>99.0</v>
      </c>
      <c r="C85" s="12" t="s">
        <v>252</v>
      </c>
      <c r="E85" s="22">
        <f t="shared" si="1"/>
        <v>0</v>
      </c>
      <c r="J85" s="4">
        <v>22.0</v>
      </c>
      <c r="K85" s="31" t="s">
        <v>181</v>
      </c>
      <c r="L85" s="27" t="s">
        <v>198</v>
      </c>
      <c r="M85" s="4">
        <v>150.0</v>
      </c>
      <c r="N85" s="28" t="str">
        <f>VLOOKUP(L85,Insumos!$A$2:$C$67,2)</f>
        <v>PAPA FRANCESA</v>
      </c>
    </row>
    <row r="86">
      <c r="A86" s="14"/>
      <c r="B86" s="14"/>
      <c r="J86" s="4">
        <v>23.0</v>
      </c>
      <c r="K86" s="31" t="s">
        <v>183</v>
      </c>
      <c r="L86" s="27" t="s">
        <v>202</v>
      </c>
      <c r="M86" s="4">
        <v>1.0</v>
      </c>
      <c r="N86" s="28" t="str">
        <f>VLOOKUP(L86,Insumos!$A$2:$C$67,2)</f>
        <v>CHURRASCOS</v>
      </c>
    </row>
    <row r="87">
      <c r="A87" s="14"/>
      <c r="B87" s="14"/>
      <c r="E87" s="36">
        <f>SUM(E3:E85)</f>
        <v>9000</v>
      </c>
      <c r="J87" s="4">
        <v>23.0</v>
      </c>
      <c r="K87" s="31" t="s">
        <v>183</v>
      </c>
      <c r="L87" s="27" t="s">
        <v>198</v>
      </c>
      <c r="M87" s="4">
        <v>150.0</v>
      </c>
      <c r="N87" s="28" t="str">
        <f>VLOOKUP(L87,Insumos!$A$2:$C$67,2)</f>
        <v>PAPA FRANCESA</v>
      </c>
    </row>
    <row r="88">
      <c r="A88" s="14"/>
      <c r="B88" s="14"/>
      <c r="J88" s="4">
        <v>24.0</v>
      </c>
      <c r="K88" s="31" t="s">
        <v>64</v>
      </c>
      <c r="L88" s="27" t="s">
        <v>205</v>
      </c>
      <c r="M88" s="4">
        <v>1.0</v>
      </c>
      <c r="N88" s="28" t="str">
        <f>VLOOKUP(L88,Insumos!$A$2:$C$67,2)</f>
        <v>PECHUGA</v>
      </c>
    </row>
    <row r="89">
      <c r="A89" s="14"/>
      <c r="B89" s="14"/>
      <c r="J89" s="4">
        <v>24.0</v>
      </c>
      <c r="K89" s="31" t="s">
        <v>64</v>
      </c>
      <c r="L89" s="27" t="s">
        <v>198</v>
      </c>
      <c r="M89" s="4">
        <v>150.0</v>
      </c>
      <c r="N89" s="28" t="str">
        <f>VLOOKUP(L89,Insumos!$A$2:$C$67,2)</f>
        <v>PAPA FRANCESA</v>
      </c>
    </row>
    <row r="90">
      <c r="A90" s="14"/>
      <c r="B90" s="14"/>
      <c r="J90" s="4">
        <v>25.0</v>
      </c>
      <c r="K90" s="31" t="s">
        <v>132</v>
      </c>
      <c r="L90" s="27" t="s">
        <v>206</v>
      </c>
      <c r="M90" s="4">
        <v>1.0</v>
      </c>
      <c r="N90" s="28" t="str">
        <f>VLOOKUP(L90,Insumos!$A$2:$C$67,2)</f>
        <v>ELECTROLIT</v>
      </c>
    </row>
    <row r="91">
      <c r="A91" s="14"/>
      <c r="B91" s="14"/>
      <c r="J91" s="4">
        <v>26.0</v>
      </c>
      <c r="K91" s="31" t="s">
        <v>186</v>
      </c>
      <c r="L91" s="27" t="s">
        <v>202</v>
      </c>
      <c r="M91" s="4">
        <v>1.0</v>
      </c>
      <c r="N91" s="28" t="str">
        <f>VLOOKUP(L91,Insumos!$A$2:$C$67,2)</f>
        <v>CHURRASCOS</v>
      </c>
    </row>
    <row r="92">
      <c r="A92" s="14"/>
      <c r="B92" s="14"/>
      <c r="J92" s="4">
        <v>26.0</v>
      </c>
      <c r="K92" s="31" t="s">
        <v>186</v>
      </c>
      <c r="L92" s="27" t="s">
        <v>198</v>
      </c>
      <c r="M92" s="4">
        <v>150.0</v>
      </c>
      <c r="N92" s="28" t="str">
        <f>VLOOKUP(L92,Insumos!$A$2:$C$67,2)</f>
        <v>PAPA FRANCESA</v>
      </c>
    </row>
    <row r="93">
      <c r="A93" s="14"/>
      <c r="B93" s="14"/>
      <c r="J93" s="4">
        <v>27.0</v>
      </c>
      <c r="K93" s="31" t="s">
        <v>106</v>
      </c>
      <c r="L93" s="27" t="s">
        <v>207</v>
      </c>
      <c r="M93" s="4">
        <v>1.0</v>
      </c>
      <c r="N93" s="28" t="str">
        <f>VLOOKUP(L93,Insumos!$A$2:$C$67,2)</f>
        <v>CHORIZO CUNCIA</v>
      </c>
    </row>
    <row r="94">
      <c r="A94" s="14"/>
      <c r="B94" s="14"/>
      <c r="J94" s="39">
        <v>28.0</v>
      </c>
      <c r="K94" s="31" t="s">
        <v>44</v>
      </c>
      <c r="L94" s="27" t="s">
        <v>208</v>
      </c>
      <c r="M94" s="4">
        <v>1.0</v>
      </c>
      <c r="N94" s="28" t="str">
        <f>VLOOKUP(L94,Insumos!$A$2:$C$67,2)</f>
        <v>GASEOSA 350</v>
      </c>
    </row>
    <row r="95">
      <c r="A95" s="14"/>
      <c r="B95" s="14"/>
      <c r="J95" s="39">
        <v>29.0</v>
      </c>
      <c r="K95" s="31" t="s">
        <v>69</v>
      </c>
      <c r="L95" s="27" t="s">
        <v>210</v>
      </c>
      <c r="M95" s="4">
        <v>1.0</v>
      </c>
      <c r="N95" s="28" t="str">
        <f>VLOOKUP(L95,Insumos!$A$2:$C$67,2)</f>
        <v>JUGO HIT 500</v>
      </c>
    </row>
    <row r="96">
      <c r="A96" s="14"/>
      <c r="B96" s="14"/>
      <c r="J96" s="39">
        <v>30.0</v>
      </c>
      <c r="K96" s="31" t="s">
        <v>192</v>
      </c>
      <c r="L96" s="27" t="s">
        <v>194</v>
      </c>
      <c r="M96" s="4">
        <v>2.0</v>
      </c>
      <c r="N96" s="28" t="str">
        <f>VLOOKUP(L96,Insumos!$A$2:$C$67,2)</f>
        <v>SALCHICHA AMERICANA</v>
      </c>
    </row>
    <row r="97">
      <c r="A97" s="14"/>
      <c r="B97" s="14"/>
      <c r="J97" s="39">
        <v>30.0</v>
      </c>
      <c r="K97" s="31" t="s">
        <v>192</v>
      </c>
      <c r="L97" s="27" t="s">
        <v>198</v>
      </c>
      <c r="M97" s="4">
        <v>300.0</v>
      </c>
      <c r="N97" s="28" t="str">
        <f>VLOOKUP(L97,Insumos!$A$2:$C$67,2)</f>
        <v>PAPA FRANCESA</v>
      </c>
    </row>
    <row r="98">
      <c r="A98" s="14"/>
      <c r="B98" s="14"/>
      <c r="J98" s="39">
        <v>30.0</v>
      </c>
      <c r="K98" s="31" t="s">
        <v>192</v>
      </c>
      <c r="L98" s="27" t="s">
        <v>184</v>
      </c>
      <c r="M98" s="4">
        <v>100.0</v>
      </c>
      <c r="N98" s="28" t="str">
        <f>VLOOKUP(L98,Insumos!$A$2:$C$67,2)</f>
        <v>DESMECHADA</v>
      </c>
    </row>
    <row r="99">
      <c r="A99" s="14"/>
      <c r="B99" s="14"/>
      <c r="J99" s="39">
        <v>30.0</v>
      </c>
      <c r="K99" s="31" t="s">
        <v>192</v>
      </c>
      <c r="L99" s="27" t="s">
        <v>173</v>
      </c>
      <c r="M99" s="4">
        <v>60.0</v>
      </c>
      <c r="N99" s="28" t="str">
        <f>VLOOKUP(L99,Insumos!$A$2:$C$67,2)</f>
        <v>MAZORCA</v>
      </c>
    </row>
    <row r="100">
      <c r="A100" s="14"/>
      <c r="B100" s="14"/>
      <c r="J100" s="39">
        <v>30.0</v>
      </c>
      <c r="K100" s="31" t="s">
        <v>192</v>
      </c>
      <c r="L100" s="27" t="s">
        <v>189</v>
      </c>
      <c r="M100" s="4">
        <v>50.0</v>
      </c>
      <c r="N100" s="28" t="str">
        <f>VLOOKUP(L100,Insumos!$A$2:$C$67,2)</f>
        <v>QUESO TAJADO</v>
      </c>
    </row>
    <row r="101">
      <c r="A101" s="14"/>
      <c r="B101" s="14"/>
      <c r="J101" s="39">
        <v>31.0</v>
      </c>
      <c r="K101" s="31" t="s">
        <v>77</v>
      </c>
      <c r="L101" s="27" t="s">
        <v>213</v>
      </c>
      <c r="M101" s="4">
        <v>1.0</v>
      </c>
      <c r="N101" s="28" t="str">
        <f>VLOOKUP(L101,Insumos!$A$2:$C$67,2)</f>
        <v>GASEOSA 500</v>
      </c>
    </row>
    <row r="102">
      <c r="A102" s="14"/>
      <c r="B102" s="14"/>
      <c r="J102" s="39">
        <v>32.0</v>
      </c>
      <c r="K102" s="31" t="s">
        <v>79</v>
      </c>
      <c r="L102" s="27" t="s">
        <v>215</v>
      </c>
      <c r="M102" s="4">
        <v>1.0</v>
      </c>
      <c r="N102" s="28" t="str">
        <f>VLOOKUP(L102,Insumos!$A$2:$C$67,2)</f>
        <v>GASEOSA 1.5</v>
      </c>
    </row>
    <row r="103">
      <c r="A103" s="14"/>
      <c r="B103" s="14"/>
      <c r="J103" s="39">
        <v>33.0</v>
      </c>
      <c r="K103" s="31" t="s">
        <v>195</v>
      </c>
      <c r="L103" s="27" t="s">
        <v>216</v>
      </c>
      <c r="M103" s="4">
        <v>1.0</v>
      </c>
      <c r="N103" s="28" t="str">
        <f>VLOOKUP(L103,Insumos!$A$2:$C$67,2)</f>
        <v>GASEOSA 400</v>
      </c>
    </row>
    <row r="104">
      <c r="A104" s="14"/>
      <c r="B104" s="14"/>
      <c r="J104" s="39">
        <v>34.0</v>
      </c>
      <c r="K104" s="31" t="s">
        <v>88</v>
      </c>
      <c r="L104" s="27" t="s">
        <v>218</v>
      </c>
      <c r="M104" s="4">
        <v>1.0</v>
      </c>
      <c r="N104" s="28" t="str">
        <f>VLOOKUP(L104,Insumos!$A$2:$C$67,2)</f>
        <v>GATORADE</v>
      </c>
    </row>
    <row r="105">
      <c r="A105" s="14"/>
      <c r="B105" s="14"/>
      <c r="J105" s="39">
        <v>35.0</v>
      </c>
      <c r="K105" s="31" t="s">
        <v>90</v>
      </c>
      <c r="L105" s="27" t="s">
        <v>219</v>
      </c>
      <c r="M105" s="4">
        <v>1.0</v>
      </c>
      <c r="N105" s="28" t="str">
        <f>VLOOKUP(L105,Insumos!$A$2:$C$67,2)</f>
        <v>GASEOSA 3.0</v>
      </c>
    </row>
    <row r="106">
      <c r="A106" s="14"/>
      <c r="B106" s="14"/>
      <c r="J106" s="39">
        <v>36.0</v>
      </c>
      <c r="K106" s="31" t="s">
        <v>92</v>
      </c>
      <c r="L106" s="27" t="s">
        <v>220</v>
      </c>
      <c r="M106" s="4">
        <v>1.0</v>
      </c>
      <c r="N106" s="28" t="str">
        <f>VLOOKUP(L106,Insumos!$A$2:$C$67,2)</f>
        <v>TEE</v>
      </c>
    </row>
    <row r="107">
      <c r="A107" s="14"/>
      <c r="B107" s="14"/>
      <c r="J107" s="39">
        <v>37.0</v>
      </c>
      <c r="K107" s="31" t="s">
        <v>93</v>
      </c>
      <c r="L107" s="27" t="s">
        <v>222</v>
      </c>
      <c r="M107" s="4">
        <v>1.0</v>
      </c>
      <c r="N107" s="28" t="str">
        <f>VLOOKUP(L107,Insumos!$A$2:$C$67,2)</f>
        <v>CERVEZA POKER</v>
      </c>
    </row>
    <row r="108">
      <c r="A108" s="14"/>
      <c r="B108" s="14"/>
      <c r="J108" s="39">
        <v>38.0</v>
      </c>
      <c r="K108" s="31" t="s">
        <v>94</v>
      </c>
      <c r="L108" s="27" t="s">
        <v>223</v>
      </c>
      <c r="M108" s="4">
        <v>1.0</v>
      </c>
      <c r="N108" s="28" t="str">
        <f>VLOOKUP(L108,Insumos!$A$2:$C$67,2)</f>
        <v>AGUA CON GAS</v>
      </c>
    </row>
    <row r="109">
      <c r="A109" s="14"/>
      <c r="B109" s="14"/>
      <c r="J109" s="39">
        <v>39.0</v>
      </c>
      <c r="K109" s="31" t="s">
        <v>45</v>
      </c>
      <c r="L109" s="27" t="s">
        <v>225</v>
      </c>
      <c r="M109" s="4">
        <v>1.0</v>
      </c>
      <c r="N109" s="28" t="str">
        <f>VLOOKUP(L109,Insumos!$A$2:$C$67,2)</f>
        <v>AGUA SIN GAS</v>
      </c>
    </row>
    <row r="110">
      <c r="A110" s="14"/>
      <c r="B110" s="14"/>
      <c r="J110" s="39">
        <v>40.0</v>
      </c>
      <c r="K110" s="31" t="s">
        <v>199</v>
      </c>
      <c r="L110" s="27" t="s">
        <v>226</v>
      </c>
      <c r="M110" s="4">
        <v>1.0</v>
      </c>
      <c r="N110" s="28" t="str">
        <f>VLOOKUP(L110,Insumos!$A$2:$C$67,2)</f>
        <v>PATACONA</v>
      </c>
    </row>
    <row r="111">
      <c r="A111" s="14"/>
      <c r="B111" s="14"/>
      <c r="J111" s="39">
        <v>41.0</v>
      </c>
      <c r="K111" s="31" t="s">
        <v>99</v>
      </c>
      <c r="L111" s="27" t="s">
        <v>228</v>
      </c>
      <c r="M111" s="4">
        <v>1.0</v>
      </c>
      <c r="N111" s="28" t="str">
        <f>VLOOKUP(L111,Insumos!$A$2:$C$67,2)</f>
        <v>JUGO HIT 1.5</v>
      </c>
    </row>
    <row r="112">
      <c r="A112" s="14"/>
      <c r="B112" s="14"/>
      <c r="J112" s="39">
        <v>42.0</v>
      </c>
      <c r="K112" s="31" t="s">
        <v>103</v>
      </c>
      <c r="L112" s="27" t="s">
        <v>229</v>
      </c>
      <c r="M112" s="4">
        <v>1.0</v>
      </c>
      <c r="N112" s="28" t="str">
        <f>VLOOKUP(L112,Insumos!$A$2:$C$67,2)</f>
        <v>COLA Y POLA 1,5</v>
      </c>
    </row>
    <row r="113">
      <c r="A113" s="14"/>
      <c r="B113" s="14"/>
      <c r="J113" s="39">
        <v>43.0</v>
      </c>
      <c r="K113" s="31" t="s">
        <v>95</v>
      </c>
      <c r="L113" s="27" t="s">
        <v>230</v>
      </c>
      <c r="M113" s="4">
        <v>1.0</v>
      </c>
      <c r="N113" s="28" t="str">
        <f>VLOOKUP(L113,Insumos!$A$2:$C$67,2)</f>
        <v>CORONA</v>
      </c>
    </row>
    <row r="114">
      <c r="A114" s="14"/>
      <c r="B114" s="14"/>
      <c r="J114" s="39">
        <v>44.0</v>
      </c>
      <c r="K114" s="31" t="s">
        <v>96</v>
      </c>
      <c r="L114" s="27" t="s">
        <v>231</v>
      </c>
      <c r="M114" s="4">
        <v>1.0</v>
      </c>
      <c r="N114" s="28" t="str">
        <f>VLOOKUP(L114,Insumos!$A$2:$C$67,2)</f>
        <v>SPEED</v>
      </c>
    </row>
    <row r="115">
      <c r="A115" s="14"/>
      <c r="B115" s="14"/>
      <c r="J115" s="39">
        <v>45.0</v>
      </c>
      <c r="K115" s="31" t="s">
        <v>203</v>
      </c>
      <c r="L115" s="27" t="s">
        <v>232</v>
      </c>
      <c r="M115" s="4">
        <v>1.0</v>
      </c>
      <c r="N115" s="28" t="str">
        <f>VLOOKUP(L115,Insumos!$A$2:$C$67,2)</f>
        <v>MALTA 1.5</v>
      </c>
    </row>
    <row r="116">
      <c r="A116" s="14"/>
      <c r="B116" s="14"/>
      <c r="J116" s="39">
        <v>46.0</v>
      </c>
      <c r="K116" s="31" t="s">
        <v>97</v>
      </c>
      <c r="L116" s="27" t="s">
        <v>234</v>
      </c>
      <c r="M116" s="4">
        <v>1.0</v>
      </c>
      <c r="N116" s="28" t="str">
        <f>VLOOKUP(L116,Insumos!$A$2:$C$67,2)</f>
        <v>CORONITA</v>
      </c>
    </row>
    <row r="117">
      <c r="A117" s="14"/>
      <c r="B117" s="14"/>
      <c r="J117" s="39">
        <v>47.0</v>
      </c>
      <c r="K117" s="31" t="s">
        <v>98</v>
      </c>
      <c r="L117" s="27" t="s">
        <v>235</v>
      </c>
      <c r="M117" s="4">
        <v>1.0</v>
      </c>
      <c r="N117" s="28" t="str">
        <f>VLOOKUP(L117,Insumos!$A$2:$C$67,2)</f>
        <v>BRETAÑA</v>
      </c>
    </row>
    <row r="118">
      <c r="A118" s="14"/>
      <c r="B118" s="14"/>
      <c r="J118" s="39">
        <v>48.0</v>
      </c>
      <c r="K118" s="31" t="s">
        <v>209</v>
      </c>
      <c r="L118" s="27" t="s">
        <v>194</v>
      </c>
      <c r="M118" s="4">
        <v>1.0</v>
      </c>
      <c r="N118" s="28" t="str">
        <f>VLOOKUP(L118,Insumos!$A$2:$C$67,2)</f>
        <v>SALCHICHA AMERICANA</v>
      </c>
    </row>
    <row r="119">
      <c r="A119" s="14"/>
      <c r="B119" s="14"/>
      <c r="J119" s="39">
        <v>48.0</v>
      </c>
      <c r="K119" s="31" t="s">
        <v>209</v>
      </c>
      <c r="L119" s="27" t="s">
        <v>198</v>
      </c>
      <c r="M119" s="4">
        <v>150.0</v>
      </c>
      <c r="N119" s="28" t="str">
        <f>VLOOKUP(L119,Insumos!$A$2:$C$67,2)</f>
        <v>PAPA FRANCESA</v>
      </c>
    </row>
    <row r="120">
      <c r="A120" s="14"/>
      <c r="B120" s="14"/>
      <c r="J120" s="39">
        <v>48.0</v>
      </c>
      <c r="K120" s="31" t="s">
        <v>209</v>
      </c>
      <c r="L120" s="27" t="s">
        <v>189</v>
      </c>
      <c r="M120" s="4">
        <v>25.0</v>
      </c>
      <c r="N120" s="28" t="str">
        <f>VLOOKUP(L120,Insumos!$A$2:$C$67,2)</f>
        <v>QUESO TAJADO</v>
      </c>
    </row>
    <row r="121">
      <c r="A121" s="14"/>
      <c r="B121" s="14"/>
      <c r="J121" s="39">
        <v>49.0</v>
      </c>
      <c r="K121" s="31" t="s">
        <v>211</v>
      </c>
      <c r="L121" s="27" t="s">
        <v>239</v>
      </c>
      <c r="M121" s="4">
        <v>1.0</v>
      </c>
      <c r="N121" s="28" t="str">
        <f>VLOOKUP(L121,Insumos!$A$2:$C$67,2)</f>
        <v>PATACONA HAM</v>
      </c>
    </row>
    <row r="122">
      <c r="A122" s="14"/>
      <c r="B122" s="14"/>
      <c r="J122" s="39">
        <v>50.0</v>
      </c>
      <c r="K122" s="31" t="s">
        <v>212</v>
      </c>
      <c r="L122" s="27" t="s">
        <v>241</v>
      </c>
      <c r="M122" s="4">
        <v>1.0</v>
      </c>
      <c r="N122" s="28" t="str">
        <f>VLOOKUP(L122,Insumos!$A$2:$C$67,2)</f>
        <v>COLA Y POLA LATA</v>
      </c>
    </row>
    <row r="123">
      <c r="A123" s="14"/>
      <c r="B123" s="14"/>
      <c r="J123" s="39">
        <v>51.0</v>
      </c>
      <c r="K123" s="31" t="s">
        <v>214</v>
      </c>
      <c r="L123" s="27" t="s">
        <v>244</v>
      </c>
      <c r="M123" s="4">
        <v>1.0</v>
      </c>
      <c r="N123" s="28" t="str">
        <f>VLOOKUP(L123,Insumos!$A$2:$C$67,2)</f>
        <v>HUEVOS CODORNIZ</v>
      </c>
    </row>
    <row r="124">
      <c r="A124" s="14"/>
      <c r="B124" s="14"/>
      <c r="J124" s="39">
        <v>52.0</v>
      </c>
      <c r="K124" s="31" t="s">
        <v>217</v>
      </c>
      <c r="L124" s="27" t="s">
        <v>187</v>
      </c>
      <c r="M124" s="4">
        <v>1.0</v>
      </c>
      <c r="N124" s="28" t="str">
        <f>VLOOKUP(L124,Insumos!$A$2:$C$67,2)</f>
        <v>PAN HAMBURGUESA</v>
      </c>
    </row>
    <row r="125">
      <c r="A125" s="14"/>
      <c r="B125" s="14"/>
      <c r="J125" s="39">
        <v>52.0</v>
      </c>
      <c r="K125" s="31" t="s">
        <v>217</v>
      </c>
      <c r="L125" s="27" t="s">
        <v>191</v>
      </c>
      <c r="M125" s="4">
        <v>2.0</v>
      </c>
      <c r="N125" s="28" t="str">
        <f>VLOOKUP(L125,Insumos!$A$2:$C$67,2)</f>
        <v>POLLO HAMBURGUESA</v>
      </c>
    </row>
    <row r="126">
      <c r="A126" s="14"/>
      <c r="B126" s="14"/>
      <c r="J126" s="39">
        <v>52.0</v>
      </c>
      <c r="K126" s="31" t="s">
        <v>217</v>
      </c>
      <c r="L126" s="27" t="s">
        <v>189</v>
      </c>
      <c r="M126" s="4">
        <v>50.0</v>
      </c>
      <c r="N126" s="28" t="str">
        <f>VLOOKUP(L126,Insumos!$A$2:$C$67,2)</f>
        <v>QUESO TAJADO</v>
      </c>
    </row>
    <row r="127">
      <c r="A127" s="14"/>
      <c r="B127" s="14"/>
      <c r="J127" s="39">
        <v>52.0</v>
      </c>
      <c r="K127" s="31" t="s">
        <v>217</v>
      </c>
      <c r="L127" s="27" t="s">
        <v>190</v>
      </c>
      <c r="M127" s="4">
        <v>50.0</v>
      </c>
      <c r="N127" s="28" t="str">
        <f>VLOOKUP(L127,Insumos!$A$2:$C$67,2)</f>
        <v>TOCINETA</v>
      </c>
    </row>
    <row r="128">
      <c r="A128" s="14"/>
      <c r="B128" s="14"/>
      <c r="J128" s="39">
        <v>53.0</v>
      </c>
      <c r="K128" s="31" t="s">
        <v>221</v>
      </c>
      <c r="L128" s="27" t="s">
        <v>205</v>
      </c>
      <c r="M128" s="4">
        <v>1.0</v>
      </c>
      <c r="N128" s="28" t="str">
        <f>VLOOKUP(L128,Insumos!$A$2:$C$67,2)</f>
        <v>PECHUGA</v>
      </c>
    </row>
    <row r="129">
      <c r="A129" s="14"/>
      <c r="B129" s="14"/>
      <c r="J129" s="39">
        <v>53.0</v>
      </c>
      <c r="K129" s="31" t="s">
        <v>221</v>
      </c>
      <c r="L129" s="27" t="s">
        <v>139</v>
      </c>
      <c r="M129" s="4">
        <v>150.0</v>
      </c>
      <c r="N129" s="28" t="str">
        <f>VLOOKUP(L129,Insumos!$A$2:$C$67,2)</f>
        <v>QUESO PIZZA</v>
      </c>
    </row>
    <row r="130">
      <c r="A130" s="14"/>
      <c r="B130" s="14"/>
      <c r="J130" s="39">
        <v>53.0</v>
      </c>
      <c r="K130" s="31" t="s">
        <v>221</v>
      </c>
      <c r="L130" s="27" t="s">
        <v>198</v>
      </c>
      <c r="M130" s="4">
        <v>150.0</v>
      </c>
      <c r="N130" s="28" t="str">
        <f>VLOOKUP(L130,Insumos!$A$2:$C$67,2)</f>
        <v>PAPA FRANCESA</v>
      </c>
    </row>
    <row r="131">
      <c r="A131" s="14"/>
      <c r="B131" s="14"/>
      <c r="J131" s="39">
        <v>54.0</v>
      </c>
      <c r="K131" s="31" t="s">
        <v>224</v>
      </c>
      <c r="L131" s="27" t="s">
        <v>255</v>
      </c>
      <c r="M131" s="4">
        <v>1.0</v>
      </c>
      <c r="N131" s="28" t="str">
        <f>VLOOKUP(L131,Insumos!$A$2:$C$67,2)</f>
        <v>H2O</v>
      </c>
    </row>
    <row r="132">
      <c r="A132" s="14"/>
      <c r="B132" s="14"/>
      <c r="J132" s="39">
        <v>55.0</v>
      </c>
      <c r="K132" s="31" t="s">
        <v>227</v>
      </c>
      <c r="L132" s="27" t="s">
        <v>258</v>
      </c>
      <c r="M132" s="4">
        <v>1.0</v>
      </c>
      <c r="N132" s="28" t="str">
        <f>VLOOKUP(L132,Insumos!$A$2:$C$67,2)</f>
        <v>PICADAS</v>
      </c>
    </row>
    <row r="133">
      <c r="A133" s="14"/>
      <c r="B133" s="14"/>
      <c r="J133" s="39">
        <v>55.0</v>
      </c>
      <c r="K133" s="31" t="s">
        <v>227</v>
      </c>
      <c r="L133" s="27" t="s">
        <v>198</v>
      </c>
      <c r="M133" s="4">
        <v>250.0</v>
      </c>
      <c r="N133" s="28" t="str">
        <f>VLOOKUP(L133,Insumos!$A$2:$C$67,2)</f>
        <v>PAPA FRANCESA</v>
      </c>
    </row>
    <row r="134">
      <c r="A134" s="14"/>
      <c r="B134" s="14"/>
      <c r="J134" s="39">
        <v>55.0</v>
      </c>
      <c r="K134" s="31" t="s">
        <v>227</v>
      </c>
      <c r="L134" s="27" t="s">
        <v>197</v>
      </c>
      <c r="M134" s="4">
        <v>1.0</v>
      </c>
      <c r="N134" s="28" t="str">
        <f>VLOOKUP(L134,Insumos!$A$2:$C$67,2)</f>
        <v>CHORIZOS</v>
      </c>
    </row>
    <row r="135">
      <c r="A135" s="14"/>
      <c r="B135" s="14"/>
      <c r="J135" s="39">
        <v>56.0</v>
      </c>
      <c r="K135" s="31" t="s">
        <v>84</v>
      </c>
      <c r="L135" s="27" t="s">
        <v>261</v>
      </c>
      <c r="M135" s="4">
        <v>1.0</v>
      </c>
      <c r="N135" s="28" t="str">
        <f>VLOOKUP(L135,Insumos!$A$2:$C$67,2)</f>
        <v>MAZORCADA</v>
      </c>
    </row>
    <row r="136">
      <c r="A136" s="14"/>
      <c r="B136" s="14"/>
      <c r="J136" s="39">
        <v>56.0</v>
      </c>
      <c r="K136" s="31" t="s">
        <v>84</v>
      </c>
      <c r="L136" s="27" t="s">
        <v>173</v>
      </c>
      <c r="M136" s="4">
        <v>200.0</v>
      </c>
      <c r="N136" s="28" t="str">
        <f>VLOOKUP(L136,Insumos!$A$2:$C$67,2)</f>
        <v>MAZORCA</v>
      </c>
    </row>
    <row r="137">
      <c r="A137" s="14"/>
      <c r="B137" s="14"/>
      <c r="J137" s="39">
        <v>57.0</v>
      </c>
      <c r="K137" s="31" t="s">
        <v>233</v>
      </c>
      <c r="L137" s="27" t="s">
        <v>184</v>
      </c>
      <c r="M137" s="4">
        <v>200.0</v>
      </c>
      <c r="N137" s="28" t="str">
        <f>VLOOKUP(L137,Insumos!$A$2:$C$67,2)</f>
        <v>DESMECHADA</v>
      </c>
    </row>
    <row r="138">
      <c r="A138" s="14"/>
      <c r="B138" s="14"/>
      <c r="J138" s="39">
        <v>57.0</v>
      </c>
      <c r="K138" s="31" t="s">
        <v>233</v>
      </c>
      <c r="L138" s="27" t="s">
        <v>189</v>
      </c>
      <c r="M138" s="4">
        <v>75.0</v>
      </c>
      <c r="N138" s="28" t="str">
        <f>VLOOKUP(L138,Insumos!$A$2:$C$67,2)</f>
        <v>QUESO TAJADO</v>
      </c>
    </row>
    <row r="139">
      <c r="A139" s="14"/>
      <c r="B139" s="14"/>
      <c r="J139" s="39">
        <v>58.0</v>
      </c>
      <c r="K139" s="31" t="s">
        <v>104</v>
      </c>
      <c r="L139" s="27" t="s">
        <v>264</v>
      </c>
      <c r="M139" s="4">
        <v>1.0</v>
      </c>
      <c r="N139" s="28" t="str">
        <f>VLOOKUP(L139,Insumos!$A$2:$C$67,2)</f>
        <v>MINI CHURRASCO</v>
      </c>
    </row>
    <row r="140">
      <c r="A140" s="14"/>
      <c r="B140" s="14"/>
      <c r="J140" s="39">
        <v>58.0</v>
      </c>
      <c r="K140" s="31" t="s">
        <v>104</v>
      </c>
      <c r="L140" s="27" t="s">
        <v>198</v>
      </c>
      <c r="M140" s="4">
        <v>150.0</v>
      </c>
      <c r="N140" s="28" t="str">
        <f>VLOOKUP(L140,Insumos!$A$2:$C$67,2)</f>
        <v>PAPA FRANCESA</v>
      </c>
    </row>
    <row r="141">
      <c r="A141" s="14"/>
      <c r="B141" s="14"/>
      <c r="J141" s="39">
        <v>59.0</v>
      </c>
      <c r="K141" s="31" t="s">
        <v>236</v>
      </c>
      <c r="L141" s="27" t="s">
        <v>222</v>
      </c>
      <c r="M141" s="4">
        <v>1.0</v>
      </c>
      <c r="N141" s="28" t="str">
        <f>VLOOKUP(L141,Insumos!$A$2:$C$67,2)</f>
        <v>CERVEZA POKER</v>
      </c>
    </row>
    <row r="142">
      <c r="A142" s="14"/>
      <c r="B142" s="14"/>
      <c r="J142" s="39">
        <v>60.0</v>
      </c>
      <c r="K142" s="31" t="s">
        <v>237</v>
      </c>
      <c r="L142" s="27" t="s">
        <v>222</v>
      </c>
      <c r="M142" s="4">
        <v>1.0</v>
      </c>
      <c r="N142" s="28" t="str">
        <f>VLOOKUP(L142,Insumos!$A$2:$C$67,2)</f>
        <v>CERVEZA POKER</v>
      </c>
    </row>
    <row r="143">
      <c r="A143" s="14"/>
      <c r="B143" s="14"/>
      <c r="J143" s="39">
        <v>60.0</v>
      </c>
      <c r="K143" s="31" t="s">
        <v>237</v>
      </c>
      <c r="L143" s="27" t="s">
        <v>267</v>
      </c>
      <c r="M143" s="4">
        <v>1.0</v>
      </c>
      <c r="N143" s="28" t="str">
        <f>VLOOKUP(L143,Insumos!$A$2:$C$67,2)</f>
        <v>PULPA FRUTA</v>
      </c>
    </row>
    <row r="144">
      <c r="A144" s="14"/>
      <c r="B144" s="14"/>
      <c r="J144" s="39">
        <v>61.0</v>
      </c>
      <c r="K144" s="31" t="s">
        <v>238</v>
      </c>
      <c r="L144" s="27" t="s">
        <v>268</v>
      </c>
      <c r="M144" s="4">
        <v>1.0</v>
      </c>
      <c r="N144" s="28" t="str">
        <f>VLOOKUP(L144,Insumos!$A$2:$C$67,2)</f>
        <v>CEREZADA</v>
      </c>
    </row>
    <row r="145">
      <c r="A145" s="14"/>
      <c r="B145" s="14"/>
      <c r="J145" s="39">
        <v>62.0</v>
      </c>
      <c r="K145" s="31" t="s">
        <v>240</v>
      </c>
      <c r="L145" s="27" t="s">
        <v>187</v>
      </c>
      <c r="M145" s="4">
        <v>1.0</v>
      </c>
      <c r="N145" s="28" t="str">
        <f>VLOOKUP(L145,Insumos!$A$2:$C$67,2)</f>
        <v>PAN HAMBURGUESA</v>
      </c>
    </row>
    <row r="146">
      <c r="A146" s="14"/>
      <c r="B146" s="14"/>
      <c r="J146" s="39">
        <v>62.0</v>
      </c>
      <c r="K146" s="31" t="s">
        <v>240</v>
      </c>
      <c r="L146" s="27" t="s">
        <v>188</v>
      </c>
      <c r="M146" s="4">
        <v>2.0</v>
      </c>
      <c r="N146" s="28" t="str">
        <f>VLOOKUP(L146,Insumos!$A$2:$C$67,2)</f>
        <v>CARNE HAMBURGUESA</v>
      </c>
    </row>
    <row r="147">
      <c r="A147" s="14"/>
      <c r="B147" s="14"/>
      <c r="J147" s="39">
        <v>62.0</v>
      </c>
      <c r="K147" s="31" t="s">
        <v>240</v>
      </c>
      <c r="L147" s="27" t="s">
        <v>191</v>
      </c>
      <c r="M147" s="4">
        <v>1.0</v>
      </c>
      <c r="N147" s="28" t="str">
        <f>VLOOKUP(L147,Insumos!$A$2:$C$67,2)</f>
        <v>POLLO HAMBURGUESA</v>
      </c>
    </row>
    <row r="148">
      <c r="A148" s="14"/>
      <c r="B148" s="14"/>
      <c r="J148" s="39">
        <v>62.0</v>
      </c>
      <c r="K148" s="31" t="s">
        <v>240</v>
      </c>
      <c r="L148" s="27" t="s">
        <v>189</v>
      </c>
      <c r="M148" s="4">
        <v>75.0</v>
      </c>
      <c r="N148" s="28" t="str">
        <f>VLOOKUP(L148,Insumos!$A$2:$C$67,2)</f>
        <v>QUESO TAJADO</v>
      </c>
    </row>
    <row r="149">
      <c r="A149" s="14"/>
      <c r="B149" s="14"/>
      <c r="J149" s="39">
        <v>62.0</v>
      </c>
      <c r="K149" s="31" t="s">
        <v>240</v>
      </c>
      <c r="L149" s="27" t="s">
        <v>190</v>
      </c>
      <c r="M149" s="4">
        <v>75.0</v>
      </c>
      <c r="N149" s="28" t="str">
        <f>VLOOKUP(L149,Insumos!$A$2:$C$67,2)</f>
        <v>TOCINETA</v>
      </c>
    </row>
    <row r="150">
      <c r="A150" s="14"/>
      <c r="B150" s="14"/>
      <c r="J150" s="39">
        <v>63.0</v>
      </c>
      <c r="K150" s="31" t="s">
        <v>242</v>
      </c>
      <c r="L150" s="27" t="s">
        <v>267</v>
      </c>
      <c r="M150" s="4">
        <v>1.0</v>
      </c>
      <c r="N150" s="28" t="str">
        <f>VLOOKUP(L150,Insumos!$A$2:$C$67,2)</f>
        <v>PULPA FRUTA</v>
      </c>
    </row>
    <row r="151">
      <c r="A151" s="14"/>
      <c r="B151" s="14"/>
      <c r="J151" s="39">
        <v>64.0</v>
      </c>
      <c r="K151" s="31" t="s">
        <v>245</v>
      </c>
      <c r="L151" s="27" t="s">
        <v>267</v>
      </c>
      <c r="M151" s="4">
        <v>1.0</v>
      </c>
      <c r="N151" s="28" t="str">
        <f>VLOOKUP(L151,Insumos!$A$2:$C$67,2)</f>
        <v>PULPA FRUTA</v>
      </c>
    </row>
    <row r="152">
      <c r="A152" s="14"/>
      <c r="B152" s="14"/>
      <c r="J152" s="39">
        <v>64.0</v>
      </c>
      <c r="K152" s="31" t="s">
        <v>245</v>
      </c>
      <c r="L152" s="27" t="s">
        <v>271</v>
      </c>
      <c r="M152" s="4">
        <v>400.0</v>
      </c>
      <c r="N152" s="28" t="str">
        <f>VLOOKUP(L152,Insumos!$A$2:$C$67,2)</f>
        <v>LECHE</v>
      </c>
    </row>
    <row r="153">
      <c r="A153" s="14"/>
      <c r="B153" s="14"/>
      <c r="J153" s="39">
        <v>65.0</v>
      </c>
      <c r="K153" s="31" t="s">
        <v>247</v>
      </c>
      <c r="L153" s="27" t="s">
        <v>267</v>
      </c>
      <c r="M153" s="4">
        <v>2.0</v>
      </c>
      <c r="N153" s="28" t="str">
        <f>VLOOKUP(L153,Insumos!$A$2:$C$67,2)</f>
        <v>PULPA FRUTA</v>
      </c>
    </row>
    <row r="154">
      <c r="A154" s="14"/>
      <c r="B154" s="14"/>
      <c r="J154" s="39">
        <v>66.0</v>
      </c>
      <c r="K154" s="31" t="s">
        <v>249</v>
      </c>
      <c r="L154" s="27" t="s">
        <v>267</v>
      </c>
      <c r="M154" s="4">
        <v>2.0</v>
      </c>
      <c r="N154" s="28" t="str">
        <f>VLOOKUP(L154,Insumos!$A$2:$C$67,2)</f>
        <v>PULPA FRUTA</v>
      </c>
    </row>
    <row r="155">
      <c r="A155" s="14"/>
      <c r="B155" s="14"/>
      <c r="J155" s="39">
        <v>66.0</v>
      </c>
      <c r="K155" s="31" t="s">
        <v>249</v>
      </c>
      <c r="L155" s="27" t="s">
        <v>271</v>
      </c>
      <c r="M155" s="4">
        <v>800.0</v>
      </c>
      <c r="N155" s="28" t="str">
        <f>VLOOKUP(L155,Insumos!$A$2:$C$67,2)</f>
        <v>LECHE</v>
      </c>
    </row>
    <row r="156">
      <c r="A156" s="14"/>
      <c r="B156" s="14"/>
      <c r="J156" s="39">
        <v>67.0</v>
      </c>
      <c r="K156" s="31" t="s">
        <v>251</v>
      </c>
      <c r="L156" s="27" t="s">
        <v>241</v>
      </c>
      <c r="M156" s="4">
        <v>1.0</v>
      </c>
      <c r="N156" s="28" t="str">
        <f>VLOOKUP(L156,Insumos!$A$2:$C$67,2)</f>
        <v>COLA Y POLA LATA</v>
      </c>
    </row>
    <row r="157">
      <c r="A157" s="14"/>
      <c r="B157" s="14"/>
      <c r="J157" s="39">
        <v>68.0</v>
      </c>
      <c r="K157" s="31" t="s">
        <v>253</v>
      </c>
      <c r="L157" s="27" t="s">
        <v>258</v>
      </c>
      <c r="M157" s="4">
        <v>1.5</v>
      </c>
      <c r="N157" s="28" t="str">
        <f>VLOOKUP(L157,Insumos!$A$2:$C$67,2)</f>
        <v>PICADAS</v>
      </c>
    </row>
    <row r="158">
      <c r="A158" s="14"/>
      <c r="B158" s="14"/>
      <c r="J158" s="39">
        <v>68.0</v>
      </c>
      <c r="K158" s="31" t="s">
        <v>253</v>
      </c>
      <c r="L158" s="27" t="s">
        <v>198</v>
      </c>
      <c r="M158" s="4">
        <v>350.0</v>
      </c>
      <c r="N158" s="28" t="str">
        <f>VLOOKUP(L158,Insumos!$A$2:$C$67,2)</f>
        <v>PAPA FRANCESA</v>
      </c>
    </row>
    <row r="159">
      <c r="A159" s="14"/>
      <c r="B159" s="14"/>
      <c r="J159" s="39">
        <v>68.0</v>
      </c>
      <c r="K159" s="31" t="s">
        <v>253</v>
      </c>
      <c r="L159" s="27" t="s">
        <v>197</v>
      </c>
      <c r="M159" s="4">
        <v>1.5</v>
      </c>
      <c r="N159" s="28" t="str">
        <f>VLOOKUP(L159,Insumos!$A$2:$C$67,2)</f>
        <v>CHORIZOS</v>
      </c>
    </row>
    <row r="160">
      <c r="A160" s="14"/>
      <c r="B160" s="14"/>
      <c r="J160" s="39">
        <v>69.0</v>
      </c>
      <c r="K160" s="31" t="s">
        <v>260</v>
      </c>
      <c r="L160" s="27" t="s">
        <v>258</v>
      </c>
      <c r="M160" s="4">
        <v>2.0</v>
      </c>
      <c r="N160" s="28" t="str">
        <f>VLOOKUP(L160,Insumos!$A$2:$C$67,2)</f>
        <v>PICADAS</v>
      </c>
    </row>
    <row r="161">
      <c r="A161" s="14"/>
      <c r="B161" s="14"/>
      <c r="J161" s="39">
        <v>69.0</v>
      </c>
      <c r="K161" s="31" t="s">
        <v>260</v>
      </c>
      <c r="L161" s="27" t="s">
        <v>198</v>
      </c>
      <c r="M161" s="4">
        <v>450.0</v>
      </c>
      <c r="N161" s="28" t="str">
        <f>VLOOKUP(L161,Insumos!$A$2:$C$67,2)</f>
        <v>PAPA FRANCESA</v>
      </c>
    </row>
    <row r="162">
      <c r="A162" s="14"/>
      <c r="B162" s="14"/>
      <c r="J162" s="39">
        <v>69.0</v>
      </c>
      <c r="K162" s="31" t="s">
        <v>260</v>
      </c>
      <c r="L162" s="27" t="s">
        <v>197</v>
      </c>
      <c r="M162" s="4">
        <v>2.0</v>
      </c>
      <c r="N162" s="28" t="str">
        <f>VLOOKUP(L162,Insumos!$A$2:$C$67,2)</f>
        <v>CHORIZOS</v>
      </c>
    </row>
    <row r="163">
      <c r="A163" s="14"/>
      <c r="B163" s="14"/>
      <c r="J163" s="39">
        <v>70.0</v>
      </c>
      <c r="K163" s="31" t="s">
        <v>262</v>
      </c>
      <c r="L163" s="27" t="s">
        <v>258</v>
      </c>
      <c r="M163" s="4">
        <v>2.5</v>
      </c>
      <c r="N163" s="28" t="str">
        <f>VLOOKUP(L163,Insumos!$A$2:$C$67,2)</f>
        <v>PICADAS</v>
      </c>
    </row>
    <row r="164">
      <c r="A164" s="14"/>
      <c r="B164" s="14"/>
      <c r="J164" s="39">
        <v>70.0</v>
      </c>
      <c r="K164" s="31" t="s">
        <v>262</v>
      </c>
      <c r="L164" s="27" t="s">
        <v>198</v>
      </c>
      <c r="M164" s="4">
        <v>550.0</v>
      </c>
      <c r="N164" s="28" t="str">
        <f>VLOOKUP(L164,Insumos!$A$2:$C$67,2)</f>
        <v>PAPA FRANCESA</v>
      </c>
    </row>
    <row r="165">
      <c r="A165" s="14"/>
      <c r="B165" s="14"/>
      <c r="J165" s="39">
        <v>70.0</v>
      </c>
      <c r="K165" s="31" t="s">
        <v>262</v>
      </c>
      <c r="L165" s="27" t="s">
        <v>197</v>
      </c>
      <c r="M165" s="4">
        <v>2.5</v>
      </c>
      <c r="N165" s="28" t="str">
        <f>VLOOKUP(L165,Insumos!$A$2:$C$67,2)</f>
        <v>CHORIZOS</v>
      </c>
    </row>
    <row r="166">
      <c r="A166" s="14"/>
      <c r="B166" s="14"/>
      <c r="J166" s="39">
        <v>71.0</v>
      </c>
      <c r="K166" s="31" t="s">
        <v>263</v>
      </c>
      <c r="L166" s="27" t="s">
        <v>267</v>
      </c>
      <c r="M166" s="4">
        <v>1.0</v>
      </c>
      <c r="N166" s="28" t="str">
        <f>VLOOKUP(L166,Insumos!$A$2:$C$67,2)</f>
        <v>PULPA FRUTA</v>
      </c>
    </row>
    <row r="167">
      <c r="A167" s="14"/>
      <c r="B167" s="14"/>
      <c r="J167" s="39">
        <v>71.0</v>
      </c>
      <c r="K167" s="31" t="s">
        <v>263</v>
      </c>
      <c r="L167" s="27" t="s">
        <v>215</v>
      </c>
      <c r="M167" s="4">
        <v>0.3</v>
      </c>
      <c r="N167" s="28" t="str">
        <f>VLOOKUP(L167,Insumos!$A$2:$C$67,2)</f>
        <v>GASEOSA 1.5</v>
      </c>
    </row>
    <row r="168">
      <c r="A168" s="14"/>
      <c r="B168" s="14"/>
      <c r="J168" s="39">
        <v>72.0</v>
      </c>
      <c r="K168" s="31" t="s">
        <v>265</v>
      </c>
      <c r="L168" s="27" t="s">
        <v>267</v>
      </c>
      <c r="M168" s="4">
        <v>2.0</v>
      </c>
      <c r="N168" s="28" t="str">
        <f>VLOOKUP(L168,Insumos!$A$2:$C$67,2)</f>
        <v>PULPA FRUTA</v>
      </c>
    </row>
    <row r="169">
      <c r="A169" s="14"/>
      <c r="B169" s="14"/>
      <c r="J169" s="39">
        <v>72.0</v>
      </c>
      <c r="K169" s="31" t="s">
        <v>265</v>
      </c>
      <c r="L169" s="27" t="s">
        <v>215</v>
      </c>
      <c r="M169" s="4">
        <v>0.5</v>
      </c>
      <c r="N169" s="28" t="str">
        <f>VLOOKUP(L169,Insumos!$A$2:$C$67,2)</f>
        <v>GASEOSA 1.5</v>
      </c>
    </row>
    <row r="170">
      <c r="A170" s="14"/>
      <c r="B170" s="14"/>
      <c r="J170" s="39">
        <v>73.0</v>
      </c>
      <c r="K170" s="31" t="s">
        <v>38</v>
      </c>
      <c r="L170" s="27" t="s">
        <v>194</v>
      </c>
      <c r="M170" s="4">
        <v>1.0</v>
      </c>
      <c r="N170" s="28" t="str">
        <f>VLOOKUP(L170,Insumos!$A$2:$C$67,2)</f>
        <v>SALCHICHA AMERICANA</v>
      </c>
    </row>
    <row r="171">
      <c r="A171" s="14"/>
      <c r="B171" s="14"/>
      <c r="J171" s="39">
        <v>74.0</v>
      </c>
      <c r="K171" s="31" t="s">
        <v>243</v>
      </c>
      <c r="L171" s="27" t="s">
        <v>273</v>
      </c>
      <c r="M171" s="4">
        <v>1.0</v>
      </c>
      <c r="N171" s="28" t="str">
        <f>VLOOKUP(L171,Insumos!$A$2:$C$67,2)</f>
        <v>CAJA PIZZA GRANDE</v>
      </c>
    </row>
    <row r="172">
      <c r="A172" s="14"/>
      <c r="B172" s="14"/>
      <c r="J172" s="39">
        <v>75.0</v>
      </c>
      <c r="K172" s="31" t="s">
        <v>246</v>
      </c>
      <c r="L172" s="27" t="s">
        <v>274</v>
      </c>
      <c r="M172" s="4">
        <v>1.0</v>
      </c>
      <c r="N172" s="28" t="str">
        <f>VLOOKUP(L172,Insumos!$A$2:$C$67,2)</f>
        <v>PORCION PATACON</v>
      </c>
    </row>
    <row r="173">
      <c r="A173" s="14"/>
      <c r="B173" s="14"/>
      <c r="J173" s="39">
        <v>76.0</v>
      </c>
      <c r="K173" s="31" t="s">
        <v>248</v>
      </c>
      <c r="L173" s="27" t="s">
        <v>275</v>
      </c>
      <c r="M173" s="4">
        <v>1.0</v>
      </c>
      <c r="N173" s="28" t="str">
        <f>VLOOKUP(L173,Insumos!$A$2:$C$67,2)</f>
        <v>CAJA PIZZA PEQUEÑA</v>
      </c>
    </row>
    <row r="174">
      <c r="A174" s="14"/>
      <c r="B174" s="14"/>
      <c r="J174" s="39">
        <v>77.0</v>
      </c>
      <c r="K174" s="31" t="s">
        <v>250</v>
      </c>
      <c r="L174" s="27" t="s">
        <v>276</v>
      </c>
      <c r="M174" s="4">
        <v>1.0</v>
      </c>
      <c r="N174" s="28" t="str">
        <f>VLOOKUP(L174,Insumos!$A$2:$C$67,2)</f>
        <v>BAÑO</v>
      </c>
    </row>
    <row r="175">
      <c r="A175" s="14"/>
      <c r="B175" s="14"/>
      <c r="J175" s="39">
        <v>78.0</v>
      </c>
      <c r="K175" s="31" t="s">
        <v>278</v>
      </c>
      <c r="L175" s="27" t="s">
        <v>196</v>
      </c>
      <c r="M175" s="4">
        <v>1.0</v>
      </c>
      <c r="N175" s="28" t="str">
        <f>VLOOKUP(L175,Insumos!$A$2:$C$67,2)</f>
        <v>SALCHICHA SUIZA</v>
      </c>
    </row>
    <row r="176">
      <c r="A176" s="14"/>
      <c r="B176" s="14"/>
      <c r="J176" s="39">
        <v>80.0</v>
      </c>
      <c r="K176" s="31" t="s">
        <v>124</v>
      </c>
      <c r="L176" s="27" t="s">
        <v>270</v>
      </c>
      <c r="M176" s="4">
        <v>1.0</v>
      </c>
      <c r="N176" s="28" t="str">
        <f>VLOOKUP(L176,Insumos!$A$2:$C$67,2)</f>
        <v>LOMO DE CERDO</v>
      </c>
    </row>
    <row r="177">
      <c r="A177" s="14"/>
      <c r="B177" s="14"/>
      <c r="J177" s="39">
        <v>80.0</v>
      </c>
      <c r="K177" s="31" t="s">
        <v>124</v>
      </c>
      <c r="L177" s="27" t="s">
        <v>198</v>
      </c>
      <c r="M177" s="4">
        <v>150.0</v>
      </c>
      <c r="N177" s="28" t="str">
        <f>VLOOKUP(L177,Insumos!$A$2:$C$67,2)</f>
        <v>PAPA FRANCESA</v>
      </c>
    </row>
    <row r="178">
      <c r="A178" s="14"/>
      <c r="B178" s="14"/>
      <c r="J178" s="39">
        <v>81.0</v>
      </c>
      <c r="K178" s="31" t="s">
        <v>279</v>
      </c>
      <c r="L178" s="27" t="s">
        <v>202</v>
      </c>
      <c r="M178" s="4">
        <v>1.0</v>
      </c>
      <c r="N178" s="28" t="str">
        <f>VLOOKUP(L178,Insumos!$A$2:$C$67,2)</f>
        <v>CHURRASCOS</v>
      </c>
    </row>
    <row r="179">
      <c r="A179" s="14"/>
      <c r="B179" s="14"/>
      <c r="J179" s="39">
        <v>81.0</v>
      </c>
      <c r="K179" s="31" t="s">
        <v>279</v>
      </c>
      <c r="L179" s="27" t="s">
        <v>198</v>
      </c>
      <c r="M179" s="4">
        <v>150.0</v>
      </c>
      <c r="N179" s="28" t="str">
        <f>VLOOKUP(L179,Insumos!$A$2:$C$67,2)</f>
        <v>PAPA FRANCESA</v>
      </c>
    </row>
    <row r="180">
      <c r="A180" s="14"/>
      <c r="B180" s="14"/>
      <c r="J180" s="39">
        <v>83.0</v>
      </c>
      <c r="K180" s="31" t="s">
        <v>280</v>
      </c>
      <c r="L180" s="27" t="s">
        <v>205</v>
      </c>
      <c r="M180" s="4">
        <v>1.0</v>
      </c>
      <c r="N180" s="28" t="str">
        <f>VLOOKUP(L180,Insumos!$A$2:$C$67,2)</f>
        <v>PECHUGA</v>
      </c>
    </row>
    <row r="181">
      <c r="A181" s="14"/>
      <c r="B181" s="14"/>
      <c r="J181" s="39">
        <v>83.0</v>
      </c>
      <c r="K181" s="31" t="s">
        <v>280</v>
      </c>
      <c r="L181" s="27" t="s">
        <v>198</v>
      </c>
      <c r="M181" s="4">
        <v>150.0</v>
      </c>
      <c r="N181" s="28" t="str">
        <f>VLOOKUP(L181,Insumos!$A$2:$C$67,2)</f>
        <v>PAPA FRANCESA</v>
      </c>
    </row>
    <row r="182">
      <c r="A182" s="14"/>
      <c r="B182" s="14"/>
      <c r="J182" s="39">
        <v>84.0</v>
      </c>
      <c r="K182" s="31" t="s">
        <v>281</v>
      </c>
      <c r="L182" s="27" t="s">
        <v>187</v>
      </c>
      <c r="M182" s="4">
        <v>1.0</v>
      </c>
      <c r="N182" s="28" t="str">
        <f>VLOOKUP(L182,Insumos!$A$2:$C$67,2)</f>
        <v>PAN HAMBURGUESA</v>
      </c>
    </row>
    <row r="183">
      <c r="A183" s="14"/>
      <c r="B183" s="14"/>
      <c r="J183" s="39">
        <v>84.0</v>
      </c>
      <c r="K183" s="31" t="s">
        <v>281</v>
      </c>
      <c r="L183" s="27" t="s">
        <v>188</v>
      </c>
      <c r="M183" s="4">
        <v>2.0</v>
      </c>
      <c r="N183" s="28" t="str">
        <f>VLOOKUP(L183,Insumos!$A$2:$C$67,2)</f>
        <v>CARNE HAMBURGUESA</v>
      </c>
    </row>
    <row r="184">
      <c r="A184" s="14"/>
      <c r="B184" s="14"/>
      <c r="J184" s="39">
        <v>84.0</v>
      </c>
      <c r="K184" s="31" t="s">
        <v>281</v>
      </c>
      <c r="L184" s="27" t="s">
        <v>189</v>
      </c>
      <c r="M184" s="4">
        <v>25.0</v>
      </c>
      <c r="N184" s="28" t="str">
        <f>VLOOKUP(L184,Insumos!$A$2:$C$67,2)</f>
        <v>QUESO TAJADO</v>
      </c>
    </row>
    <row r="185">
      <c r="A185" s="14"/>
      <c r="B185" s="14"/>
      <c r="J185" s="39">
        <v>84.0</v>
      </c>
      <c r="K185" s="31" t="s">
        <v>281</v>
      </c>
      <c r="L185" s="27" t="s">
        <v>190</v>
      </c>
      <c r="M185" s="4">
        <v>30.0</v>
      </c>
      <c r="N185" s="28" t="str">
        <f>VLOOKUP(L185,Insumos!$A$2:$C$67,2)</f>
        <v>TOCINETA</v>
      </c>
    </row>
    <row r="186">
      <c r="A186" s="14"/>
      <c r="B186" s="14"/>
      <c r="J186" s="39">
        <v>84.0</v>
      </c>
      <c r="K186" s="31" t="s">
        <v>281</v>
      </c>
      <c r="L186" s="27" t="s">
        <v>173</v>
      </c>
      <c r="M186" s="4">
        <v>50.0</v>
      </c>
      <c r="N186" s="28" t="str">
        <f>VLOOKUP(L186,Insumos!$A$2:$C$67,2)</f>
        <v>MAZORCA</v>
      </c>
    </row>
    <row r="187">
      <c r="A187" s="14"/>
      <c r="B187" s="14"/>
      <c r="J187" s="39">
        <v>85.0</v>
      </c>
      <c r="K187" s="31" t="s">
        <v>282</v>
      </c>
      <c r="L187" s="27" t="s">
        <v>139</v>
      </c>
      <c r="M187" s="4">
        <v>150.0</v>
      </c>
      <c r="N187" s="28" t="str">
        <f>VLOOKUP(L187,Insumos!$A$2:$C$67,2)</f>
        <v>QUESO PIZZA</v>
      </c>
    </row>
    <row r="188">
      <c r="A188" s="14"/>
      <c r="B188" s="14"/>
      <c r="J188" s="39">
        <v>99.0</v>
      </c>
      <c r="K188" s="31" t="s">
        <v>252</v>
      </c>
      <c r="L188" s="27" t="s">
        <v>277</v>
      </c>
      <c r="M188" s="4">
        <v>1.0</v>
      </c>
      <c r="N188" s="28" t="str">
        <f>VLOOKUP(L188,Insumos!$A$2:$C$67,2)</f>
        <v>DESECHABLE</v>
      </c>
    </row>
    <row r="189">
      <c r="A189" s="14"/>
      <c r="B189" s="14"/>
    </row>
    <row r="190">
      <c r="A190" s="14"/>
      <c r="B190" s="14"/>
    </row>
    <row r="191">
      <c r="A191" s="14"/>
      <c r="B191" s="14"/>
    </row>
    <row r="192">
      <c r="A192" s="14"/>
      <c r="B192" s="14"/>
    </row>
    <row r="193">
      <c r="A193" s="14"/>
      <c r="B193" s="14"/>
    </row>
    <row r="194">
      <c r="A194" s="14"/>
      <c r="B194" s="14"/>
    </row>
    <row r="195">
      <c r="A195" s="14"/>
      <c r="B195" s="14"/>
    </row>
    <row r="196">
      <c r="A196" s="14"/>
      <c r="B196" s="14"/>
    </row>
    <row r="197">
      <c r="A197" s="14"/>
      <c r="B197" s="14"/>
    </row>
    <row r="198">
      <c r="A198" s="14"/>
      <c r="B198" s="14"/>
    </row>
    <row r="199">
      <c r="A199" s="14"/>
      <c r="B199" s="14"/>
    </row>
    <row r="200">
      <c r="A200" s="14"/>
      <c r="B200" s="14"/>
    </row>
    <row r="201">
      <c r="A201" s="14"/>
      <c r="B201" s="14"/>
    </row>
    <row r="202">
      <c r="A202" s="14"/>
      <c r="B202" s="14"/>
    </row>
    <row r="203">
      <c r="A203" s="14"/>
      <c r="B203" s="14"/>
    </row>
    <row r="204">
      <c r="A204" s="14"/>
      <c r="B204" s="14"/>
    </row>
    <row r="205">
      <c r="A205" s="14"/>
      <c r="B205" s="14"/>
    </row>
    <row r="206">
      <c r="A206" s="14"/>
      <c r="B206" s="14"/>
    </row>
    <row r="207">
      <c r="A207" s="14"/>
      <c r="B207" s="14"/>
    </row>
    <row r="208">
      <c r="A208" s="14"/>
      <c r="B208" s="14"/>
    </row>
    <row r="209">
      <c r="A209" s="14"/>
      <c r="B209" s="14"/>
    </row>
    <row r="210">
      <c r="A210" s="14"/>
      <c r="B210" s="14"/>
    </row>
    <row r="211">
      <c r="A211" s="14"/>
      <c r="B211" s="14"/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  <row r="999">
      <c r="A999" s="14"/>
      <c r="B999" s="14"/>
    </row>
    <row r="1000">
      <c r="A1000" s="14"/>
      <c r="B1000" s="14"/>
    </row>
    <row r="1001">
      <c r="A1001" s="14"/>
      <c r="B1001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0"/>
    <col customWidth="1" min="4" max="4" width="16.0"/>
  </cols>
  <sheetData>
    <row r="1">
      <c r="A1" s="15" t="s">
        <v>0</v>
      </c>
      <c r="B1" s="15" t="s">
        <v>151</v>
      </c>
      <c r="C1" s="15" t="s">
        <v>153</v>
      </c>
      <c r="D1" s="15" t="s">
        <v>2</v>
      </c>
      <c r="E1" s="15" t="s">
        <v>4</v>
      </c>
      <c r="F1" s="32" t="s">
        <v>155</v>
      </c>
      <c r="G1" s="32" t="s">
        <v>10</v>
      </c>
      <c r="H1" s="15" t="s">
        <v>157</v>
      </c>
      <c r="I1" s="33" t="s">
        <v>71</v>
      </c>
      <c r="J1" s="33" t="s">
        <v>159</v>
      </c>
      <c r="K1" s="33" t="s">
        <v>160</v>
      </c>
      <c r="L1" s="33" t="s">
        <v>161</v>
      </c>
    </row>
    <row r="2">
      <c r="A2" s="3"/>
      <c r="B2" s="8"/>
      <c r="F2" s="34"/>
      <c r="G2" s="34"/>
    </row>
    <row r="3">
      <c r="A3" s="3"/>
      <c r="B3" s="8"/>
      <c r="F3" s="34"/>
      <c r="G3" s="34"/>
    </row>
    <row r="4">
      <c r="A4" s="3"/>
      <c r="B4" s="8"/>
      <c r="F4" s="34"/>
      <c r="G4" s="34"/>
      <c r="I4" s="35"/>
    </row>
    <row r="5">
      <c r="A5" s="3"/>
      <c r="B5" s="8"/>
      <c r="F5" s="34"/>
      <c r="G5" s="34"/>
    </row>
    <row r="6">
      <c r="A6" s="3"/>
      <c r="B6" s="8"/>
      <c r="F6" s="34"/>
      <c r="G6" s="34"/>
    </row>
    <row r="7">
      <c r="A7" s="3"/>
      <c r="B7" s="8"/>
      <c r="F7" s="34"/>
      <c r="G7" s="34"/>
    </row>
    <row r="8">
      <c r="A8" s="3"/>
      <c r="B8" s="8"/>
      <c r="F8" s="34"/>
      <c r="G8" s="34"/>
    </row>
    <row r="9">
      <c r="A9" s="3"/>
      <c r="B9" s="8"/>
      <c r="F9" s="34"/>
      <c r="G9" s="34"/>
    </row>
    <row r="10">
      <c r="A10" s="3"/>
      <c r="B10" s="8"/>
      <c r="F10" s="34"/>
      <c r="G10" s="34"/>
    </row>
    <row r="11">
      <c r="A11" s="3"/>
      <c r="B11" s="8"/>
      <c r="F11" s="34"/>
      <c r="G11" s="34"/>
    </row>
    <row r="12">
      <c r="A12" s="3"/>
      <c r="B12" s="8"/>
      <c r="F12" s="34"/>
      <c r="G12" s="34"/>
    </row>
    <row r="13">
      <c r="A13" s="3"/>
      <c r="B13" s="8"/>
      <c r="F13" s="34"/>
      <c r="G13" s="34"/>
    </row>
    <row r="14">
      <c r="A14" s="3"/>
      <c r="B14" s="8"/>
      <c r="F14" s="34"/>
      <c r="G14" s="34"/>
    </row>
    <row r="15">
      <c r="A15" s="3"/>
      <c r="B15" s="8"/>
      <c r="F15" s="34"/>
      <c r="G15" s="34"/>
    </row>
    <row r="16">
      <c r="A16" s="3"/>
      <c r="B16" s="8"/>
      <c r="F16" s="34"/>
      <c r="G16" s="34"/>
    </row>
    <row r="17">
      <c r="A17" s="3"/>
      <c r="B17" s="8"/>
      <c r="F17" s="34"/>
      <c r="G17" s="34"/>
    </row>
    <row r="18">
      <c r="A18" s="3"/>
      <c r="B18" s="8"/>
      <c r="F18" s="34"/>
      <c r="G18" s="34"/>
    </row>
    <row r="19">
      <c r="A19" s="3"/>
      <c r="B19" s="8"/>
      <c r="F19" s="34"/>
      <c r="G19" s="34"/>
    </row>
    <row r="20">
      <c r="A20" s="3"/>
      <c r="B20" s="8"/>
      <c r="F20" s="34"/>
      <c r="G20" s="34"/>
    </row>
    <row r="21">
      <c r="A21" s="3"/>
      <c r="B21" s="8"/>
      <c r="F21" s="34"/>
      <c r="G21" s="34"/>
    </row>
    <row r="22">
      <c r="A22" s="3"/>
      <c r="B22" s="8"/>
      <c r="F22" s="34"/>
      <c r="G22" s="34"/>
    </row>
    <row r="23">
      <c r="A23" s="3"/>
      <c r="B23" s="8"/>
      <c r="F23" s="34"/>
      <c r="G23" s="34"/>
    </row>
    <row r="24">
      <c r="A24" s="3"/>
      <c r="B24" s="8"/>
      <c r="F24" s="34"/>
      <c r="G24" s="34"/>
    </row>
    <row r="25">
      <c r="A25" s="3"/>
      <c r="B25" s="8"/>
      <c r="F25" s="34"/>
      <c r="G25" s="34"/>
    </row>
    <row r="26">
      <c r="A26" s="3"/>
      <c r="B26" s="8"/>
      <c r="F26" s="34"/>
      <c r="G26" s="34"/>
    </row>
    <row r="27">
      <c r="A27" s="3"/>
      <c r="B27" s="8"/>
      <c r="F27" s="34"/>
      <c r="G27" s="34"/>
    </row>
    <row r="28">
      <c r="A28" s="3"/>
      <c r="B28" s="8"/>
      <c r="F28" s="34"/>
      <c r="G28" s="34"/>
    </row>
    <row r="29">
      <c r="A29" s="3"/>
      <c r="B29" s="8"/>
      <c r="F29" s="34"/>
      <c r="G29" s="34"/>
    </row>
    <row r="30">
      <c r="A30" s="3"/>
      <c r="B30" s="8"/>
      <c r="F30" s="34"/>
      <c r="G30" s="34"/>
    </row>
    <row r="31">
      <c r="A31" s="3"/>
      <c r="B31" s="8"/>
      <c r="F31" s="34"/>
      <c r="G31" s="34"/>
    </row>
    <row r="32">
      <c r="A32" s="3"/>
      <c r="B32" s="8"/>
      <c r="F32" s="34"/>
      <c r="G32" s="34"/>
    </row>
    <row r="33">
      <c r="A33" s="3"/>
      <c r="B33" s="8"/>
      <c r="F33" s="34"/>
      <c r="G33" s="34"/>
    </row>
    <row r="34">
      <c r="A34" s="3"/>
      <c r="B34" s="8"/>
      <c r="F34" s="34"/>
      <c r="G34" s="34"/>
    </row>
    <row r="35">
      <c r="A35" s="3"/>
      <c r="B35" s="8"/>
      <c r="F35" s="34"/>
      <c r="G35" s="34"/>
    </row>
    <row r="36">
      <c r="A36" s="3"/>
      <c r="B36" s="8"/>
      <c r="F36" s="34"/>
      <c r="G36" s="34"/>
    </row>
    <row r="37">
      <c r="A37" s="3"/>
      <c r="B37" s="8"/>
      <c r="F37" s="34"/>
      <c r="G37" s="34"/>
    </row>
    <row r="38">
      <c r="A38" s="3"/>
      <c r="B38" s="8"/>
      <c r="F38" s="34"/>
      <c r="G38" s="34"/>
    </row>
    <row r="39">
      <c r="A39" s="3"/>
      <c r="B39" s="8"/>
      <c r="F39" s="34"/>
      <c r="G39" s="34"/>
    </row>
    <row r="40">
      <c r="A40" s="3"/>
      <c r="B40" s="8"/>
      <c r="F40" s="34"/>
      <c r="G40" s="34"/>
    </row>
    <row r="41">
      <c r="A41" s="3"/>
      <c r="B41" s="8"/>
      <c r="F41" s="34"/>
      <c r="G41" s="34"/>
    </row>
    <row r="42">
      <c r="A42" s="3"/>
      <c r="B42" s="8"/>
      <c r="F42" s="34"/>
      <c r="G42" s="34"/>
    </row>
    <row r="43">
      <c r="A43" s="3"/>
      <c r="B43" s="8"/>
      <c r="F43" s="34"/>
      <c r="G43" s="34"/>
    </row>
    <row r="44">
      <c r="A44" s="3"/>
      <c r="B44" s="8"/>
      <c r="F44" s="34"/>
      <c r="G44" s="34"/>
    </row>
    <row r="45">
      <c r="A45" s="3"/>
      <c r="B45" s="8"/>
      <c r="F45" s="34"/>
      <c r="G45" s="34"/>
    </row>
    <row r="46">
      <c r="A46" s="3"/>
      <c r="B46" s="8"/>
      <c r="F46" s="34"/>
      <c r="G46" s="34"/>
    </row>
    <row r="47">
      <c r="A47" s="3"/>
      <c r="B47" s="8"/>
      <c r="F47" s="34"/>
      <c r="G47" s="34"/>
    </row>
    <row r="48">
      <c r="A48" s="3"/>
      <c r="B48" s="8"/>
      <c r="F48" s="34"/>
      <c r="G48" s="34"/>
    </row>
    <row r="49">
      <c r="A49" s="3"/>
      <c r="B49" s="8"/>
      <c r="F49" s="34"/>
      <c r="G49" s="34"/>
    </row>
    <row r="50">
      <c r="A50" s="3"/>
      <c r="B50" s="8"/>
      <c r="F50" s="34"/>
      <c r="G50" s="34"/>
    </row>
    <row r="51">
      <c r="A51" s="3"/>
      <c r="B51" s="8"/>
      <c r="F51" s="34"/>
      <c r="G51" s="34"/>
    </row>
    <row r="52">
      <c r="F52" s="36"/>
      <c r="G52" s="36"/>
    </row>
    <row r="53">
      <c r="F53" s="36"/>
      <c r="G53" s="36"/>
    </row>
    <row r="54">
      <c r="F54" s="36"/>
      <c r="G54" s="36"/>
    </row>
    <row r="55">
      <c r="F55" s="36"/>
      <c r="G55" s="36"/>
    </row>
    <row r="56">
      <c r="F56" s="36"/>
      <c r="G56" s="36"/>
    </row>
    <row r="57">
      <c r="F57" s="36"/>
      <c r="G57" s="36"/>
    </row>
    <row r="58">
      <c r="F58" s="36"/>
      <c r="G58" s="36"/>
    </row>
    <row r="59">
      <c r="F59" s="36"/>
      <c r="G59" s="36"/>
    </row>
    <row r="60">
      <c r="F60" s="36"/>
      <c r="G60" s="36"/>
    </row>
    <row r="61">
      <c r="F61" s="36"/>
      <c r="G61" s="36"/>
    </row>
    <row r="62">
      <c r="F62" s="36"/>
      <c r="G62" s="36"/>
    </row>
    <row r="63">
      <c r="F63" s="36"/>
      <c r="G63" s="36"/>
    </row>
    <row r="64">
      <c r="F64" s="36"/>
      <c r="G64" s="36"/>
    </row>
    <row r="65">
      <c r="F65" s="36"/>
      <c r="G65" s="36"/>
    </row>
    <row r="66">
      <c r="F66" s="36"/>
      <c r="G66" s="36"/>
    </row>
    <row r="67">
      <c r="F67" s="36"/>
      <c r="G67" s="36"/>
    </row>
    <row r="68">
      <c r="F68" s="36"/>
      <c r="G68" s="36"/>
    </row>
    <row r="69">
      <c r="F69" s="36"/>
      <c r="G69" s="36"/>
    </row>
    <row r="70">
      <c r="F70" s="36"/>
      <c r="G70" s="36"/>
    </row>
    <row r="71">
      <c r="F71" s="36"/>
      <c r="G71" s="36"/>
    </row>
    <row r="72">
      <c r="F72" s="36"/>
      <c r="G72" s="36"/>
    </row>
    <row r="73">
      <c r="F73" s="36"/>
      <c r="G73" s="36"/>
    </row>
    <row r="74">
      <c r="F74" s="36"/>
      <c r="G74" s="36"/>
    </row>
    <row r="75">
      <c r="F75" s="36"/>
      <c r="G75" s="36"/>
    </row>
    <row r="76">
      <c r="F76" s="36"/>
      <c r="G76" s="36"/>
    </row>
    <row r="77">
      <c r="F77" s="36"/>
      <c r="G77" s="36"/>
    </row>
    <row r="78">
      <c r="F78" s="36"/>
      <c r="G78" s="36"/>
    </row>
    <row r="79">
      <c r="F79" s="36"/>
      <c r="G79" s="36"/>
    </row>
    <row r="80">
      <c r="F80" s="36"/>
      <c r="G80" s="36"/>
    </row>
    <row r="81">
      <c r="F81" s="36"/>
      <c r="G81" s="36"/>
    </row>
    <row r="82">
      <c r="F82" s="36"/>
      <c r="G82" s="36"/>
    </row>
    <row r="83">
      <c r="F83" s="36"/>
      <c r="G83" s="36"/>
    </row>
    <row r="84">
      <c r="F84" s="36"/>
      <c r="G84" s="36"/>
    </row>
    <row r="85">
      <c r="F85" s="36"/>
      <c r="G85" s="36"/>
    </row>
    <row r="86">
      <c r="F86" s="36"/>
      <c r="G86" s="36"/>
    </row>
    <row r="87">
      <c r="F87" s="36"/>
      <c r="G87" s="36"/>
    </row>
    <row r="88">
      <c r="F88" s="36"/>
      <c r="G88" s="36"/>
    </row>
    <row r="89">
      <c r="F89" s="36"/>
      <c r="G89" s="36"/>
    </row>
    <row r="90">
      <c r="F90" s="36"/>
      <c r="G90" s="36"/>
    </row>
    <row r="91">
      <c r="F91" s="36"/>
      <c r="G91" s="36"/>
    </row>
    <row r="92">
      <c r="F92" s="36"/>
      <c r="G92" s="36"/>
    </row>
    <row r="93">
      <c r="F93" s="36"/>
      <c r="G93" s="36"/>
    </row>
    <row r="94">
      <c r="F94" s="36"/>
      <c r="G94" s="36"/>
    </row>
    <row r="95">
      <c r="F95" s="36"/>
      <c r="G95" s="36"/>
    </row>
    <row r="96">
      <c r="F96" s="36"/>
      <c r="G96" s="36"/>
    </row>
    <row r="97">
      <c r="F97" s="36"/>
      <c r="G97" s="36"/>
    </row>
    <row r="98">
      <c r="F98" s="36"/>
      <c r="G98" s="36"/>
    </row>
    <row r="99">
      <c r="F99" s="36"/>
      <c r="G99" s="36"/>
    </row>
    <row r="100">
      <c r="F100" s="36"/>
      <c r="G100" s="36"/>
    </row>
    <row r="101">
      <c r="F101" s="36"/>
      <c r="G101" s="36"/>
    </row>
    <row r="102">
      <c r="F102" s="36"/>
      <c r="G102" s="36"/>
    </row>
    <row r="103">
      <c r="F103" s="36"/>
      <c r="G103" s="36"/>
    </row>
    <row r="104">
      <c r="F104" s="36"/>
      <c r="G104" s="36"/>
    </row>
    <row r="105">
      <c r="F105" s="36"/>
      <c r="G105" s="36"/>
    </row>
    <row r="106">
      <c r="F106" s="36"/>
      <c r="G106" s="36"/>
    </row>
    <row r="107">
      <c r="F107" s="36"/>
      <c r="G107" s="36"/>
    </row>
    <row r="108">
      <c r="F108" s="36"/>
      <c r="G108" s="36"/>
    </row>
    <row r="109">
      <c r="F109" s="36"/>
      <c r="G109" s="36"/>
    </row>
    <row r="110">
      <c r="F110" s="36"/>
      <c r="G110" s="36"/>
    </row>
    <row r="111">
      <c r="F111" s="36"/>
      <c r="G111" s="36"/>
    </row>
    <row r="112">
      <c r="F112" s="36"/>
      <c r="G112" s="36"/>
    </row>
    <row r="113">
      <c r="F113" s="36"/>
      <c r="G113" s="36"/>
    </row>
    <row r="114">
      <c r="F114" s="36"/>
      <c r="G114" s="36"/>
    </row>
    <row r="115">
      <c r="F115" s="36"/>
      <c r="G115" s="36"/>
    </row>
    <row r="116">
      <c r="F116" s="36"/>
      <c r="G116" s="36"/>
    </row>
    <row r="117">
      <c r="F117" s="36"/>
      <c r="G117" s="36"/>
    </row>
    <row r="118">
      <c r="F118" s="36"/>
      <c r="G118" s="36"/>
    </row>
    <row r="119">
      <c r="F119" s="36"/>
      <c r="G119" s="36"/>
    </row>
    <row r="120">
      <c r="F120" s="36"/>
      <c r="G120" s="36"/>
    </row>
    <row r="121">
      <c r="F121" s="36"/>
      <c r="G121" s="36"/>
    </row>
    <row r="122">
      <c r="F122" s="36"/>
      <c r="G122" s="36"/>
    </row>
    <row r="123">
      <c r="F123" s="36"/>
      <c r="G123" s="36"/>
    </row>
    <row r="124">
      <c r="F124" s="36"/>
      <c r="G124" s="36"/>
    </row>
    <row r="125">
      <c r="F125" s="36"/>
      <c r="G125" s="36"/>
    </row>
    <row r="126">
      <c r="F126" s="36"/>
      <c r="G126" s="36"/>
    </row>
    <row r="127">
      <c r="F127" s="36"/>
      <c r="G127" s="36"/>
    </row>
    <row r="128">
      <c r="F128" s="36"/>
      <c r="G128" s="36"/>
    </row>
    <row r="129">
      <c r="F129" s="36"/>
      <c r="G129" s="36"/>
    </row>
    <row r="130">
      <c r="F130" s="36"/>
      <c r="G130" s="36"/>
    </row>
    <row r="131">
      <c r="F131" s="36"/>
      <c r="G131" s="36"/>
    </row>
    <row r="132">
      <c r="F132" s="36"/>
      <c r="G132" s="36"/>
    </row>
    <row r="133">
      <c r="F133" s="36"/>
      <c r="G133" s="36"/>
    </row>
    <row r="134">
      <c r="F134" s="36"/>
      <c r="G134" s="36"/>
    </row>
    <row r="135">
      <c r="F135" s="36"/>
      <c r="G135" s="36"/>
    </row>
    <row r="136">
      <c r="F136" s="36"/>
      <c r="G136" s="36"/>
    </row>
    <row r="137">
      <c r="F137" s="36"/>
      <c r="G137" s="36"/>
    </row>
    <row r="138">
      <c r="F138" s="36"/>
      <c r="G138" s="36"/>
    </row>
    <row r="139">
      <c r="F139" s="36"/>
      <c r="G139" s="36"/>
    </row>
    <row r="140">
      <c r="F140" s="36"/>
      <c r="G140" s="36"/>
    </row>
    <row r="141">
      <c r="F141" s="36"/>
      <c r="G141" s="36"/>
    </row>
    <row r="142">
      <c r="F142" s="36"/>
      <c r="G142" s="36"/>
    </row>
    <row r="143">
      <c r="F143" s="36"/>
      <c r="G143" s="36"/>
    </row>
    <row r="144">
      <c r="F144" s="36"/>
      <c r="G144" s="36"/>
    </row>
    <row r="145">
      <c r="F145" s="36"/>
      <c r="G145" s="36"/>
    </row>
    <row r="146">
      <c r="F146" s="36"/>
      <c r="G146" s="36"/>
    </row>
    <row r="147">
      <c r="F147" s="36"/>
      <c r="G147" s="36"/>
    </row>
    <row r="148">
      <c r="F148" s="36"/>
      <c r="G148" s="36"/>
    </row>
    <row r="149">
      <c r="F149" s="36"/>
      <c r="G149" s="36"/>
    </row>
    <row r="150">
      <c r="F150" s="36"/>
      <c r="G150" s="36"/>
    </row>
    <row r="151">
      <c r="F151" s="36"/>
      <c r="G151" s="36"/>
    </row>
    <row r="152">
      <c r="F152" s="36"/>
      <c r="G152" s="36"/>
    </row>
    <row r="153">
      <c r="F153" s="36"/>
      <c r="G153" s="36"/>
    </row>
    <row r="154">
      <c r="F154" s="36"/>
      <c r="G154" s="36"/>
    </row>
    <row r="155">
      <c r="F155" s="36"/>
      <c r="G155" s="36"/>
    </row>
    <row r="156">
      <c r="F156" s="36"/>
      <c r="G156" s="36"/>
    </row>
    <row r="157">
      <c r="F157" s="36"/>
      <c r="G157" s="36"/>
    </row>
    <row r="158">
      <c r="F158" s="36"/>
      <c r="G158" s="36"/>
    </row>
    <row r="159">
      <c r="F159" s="36"/>
      <c r="G159" s="36"/>
    </row>
    <row r="160">
      <c r="F160" s="36"/>
      <c r="G160" s="36"/>
    </row>
    <row r="161">
      <c r="F161" s="36"/>
      <c r="G161" s="36"/>
    </row>
    <row r="162">
      <c r="F162" s="36"/>
      <c r="G162" s="36"/>
    </row>
    <row r="163">
      <c r="F163" s="36"/>
      <c r="G163" s="36"/>
    </row>
    <row r="164">
      <c r="F164" s="36"/>
      <c r="G164" s="36"/>
    </row>
    <row r="165">
      <c r="F165" s="36"/>
      <c r="G165" s="36"/>
    </row>
    <row r="166">
      <c r="F166" s="36"/>
      <c r="G166" s="36"/>
    </row>
    <row r="167">
      <c r="F167" s="36"/>
      <c r="G167" s="36"/>
    </row>
    <row r="168">
      <c r="F168" s="36"/>
      <c r="G168" s="36"/>
    </row>
    <row r="169">
      <c r="F169" s="36"/>
      <c r="G169" s="36"/>
    </row>
    <row r="170">
      <c r="F170" s="36"/>
      <c r="G170" s="36"/>
    </row>
    <row r="171">
      <c r="F171" s="36"/>
      <c r="G171" s="36"/>
    </row>
    <row r="172">
      <c r="F172" s="36"/>
      <c r="G172" s="36"/>
    </row>
    <row r="173">
      <c r="F173" s="36"/>
      <c r="G173" s="36"/>
    </row>
    <row r="174">
      <c r="F174" s="36"/>
      <c r="G174" s="36"/>
    </row>
    <row r="175">
      <c r="F175" s="36"/>
      <c r="G175" s="36"/>
    </row>
    <row r="176">
      <c r="F176" s="36"/>
      <c r="G176" s="36"/>
    </row>
    <row r="177">
      <c r="F177" s="36"/>
      <c r="G177" s="36"/>
    </row>
    <row r="178">
      <c r="F178" s="36"/>
      <c r="G178" s="36"/>
    </row>
    <row r="179">
      <c r="F179" s="36"/>
      <c r="G179" s="36"/>
    </row>
    <row r="180">
      <c r="F180" s="36"/>
      <c r="G180" s="36"/>
    </row>
    <row r="181">
      <c r="F181" s="36"/>
      <c r="G181" s="36"/>
    </row>
    <row r="182">
      <c r="F182" s="36"/>
      <c r="G182" s="36"/>
    </row>
    <row r="183">
      <c r="F183" s="36"/>
      <c r="G183" s="36"/>
    </row>
    <row r="184">
      <c r="F184" s="36"/>
      <c r="G184" s="36"/>
    </row>
    <row r="185">
      <c r="F185" s="36"/>
      <c r="G185" s="36"/>
    </row>
    <row r="186">
      <c r="F186" s="36"/>
      <c r="G186" s="36"/>
    </row>
    <row r="187">
      <c r="F187" s="36"/>
      <c r="G187" s="36"/>
    </row>
    <row r="188">
      <c r="F188" s="36"/>
      <c r="G188" s="36"/>
    </row>
    <row r="189">
      <c r="F189" s="36"/>
      <c r="G189" s="36"/>
    </row>
    <row r="190">
      <c r="F190" s="36"/>
      <c r="G190" s="36"/>
    </row>
    <row r="191">
      <c r="F191" s="36"/>
      <c r="G191" s="36"/>
    </row>
    <row r="192">
      <c r="F192" s="36"/>
      <c r="G192" s="36"/>
    </row>
    <row r="193">
      <c r="F193" s="36"/>
      <c r="G193" s="36"/>
    </row>
    <row r="194">
      <c r="F194" s="36"/>
      <c r="G194" s="36"/>
    </row>
    <row r="195">
      <c r="F195" s="36"/>
      <c r="G195" s="36"/>
    </row>
    <row r="196">
      <c r="F196" s="36"/>
      <c r="G196" s="36"/>
    </row>
    <row r="197">
      <c r="F197" s="36"/>
      <c r="G197" s="36"/>
    </row>
    <row r="198">
      <c r="F198" s="36"/>
      <c r="G198" s="36"/>
    </row>
    <row r="199">
      <c r="F199" s="36"/>
      <c r="G199" s="36"/>
    </row>
    <row r="200">
      <c r="F200" s="36"/>
      <c r="G200" s="36"/>
    </row>
    <row r="201">
      <c r="F201" s="36"/>
      <c r="G201" s="36"/>
    </row>
    <row r="202">
      <c r="F202" s="36"/>
      <c r="G202" s="36"/>
    </row>
    <row r="203">
      <c r="F203" s="36"/>
      <c r="G203" s="36"/>
    </row>
    <row r="204">
      <c r="F204" s="36"/>
      <c r="G204" s="36"/>
    </row>
    <row r="205">
      <c r="F205" s="36"/>
      <c r="G205" s="36"/>
    </row>
    <row r="206">
      <c r="F206" s="36"/>
      <c r="G206" s="36"/>
    </row>
    <row r="207">
      <c r="F207" s="36"/>
      <c r="G207" s="36"/>
    </row>
    <row r="208">
      <c r="F208" s="36"/>
      <c r="G208" s="36"/>
    </row>
    <row r="209">
      <c r="F209" s="36"/>
      <c r="G209" s="36"/>
    </row>
    <row r="210">
      <c r="F210" s="36"/>
      <c r="G210" s="36"/>
    </row>
    <row r="211">
      <c r="F211" s="36"/>
      <c r="G211" s="36"/>
    </row>
    <row r="212">
      <c r="F212" s="36"/>
      <c r="G212" s="36"/>
    </row>
    <row r="213">
      <c r="F213" s="36"/>
      <c r="G213" s="36"/>
    </row>
    <row r="214">
      <c r="F214" s="36"/>
      <c r="G214" s="36"/>
    </row>
    <row r="215">
      <c r="F215" s="36"/>
      <c r="G215" s="36"/>
    </row>
    <row r="216">
      <c r="F216" s="36"/>
      <c r="G216" s="36"/>
    </row>
    <row r="217">
      <c r="F217" s="36"/>
      <c r="G217" s="36"/>
    </row>
    <row r="218">
      <c r="F218" s="36"/>
      <c r="G218" s="36"/>
    </row>
    <row r="219">
      <c r="F219" s="36"/>
      <c r="G219" s="36"/>
    </row>
    <row r="220">
      <c r="F220" s="36"/>
      <c r="G220" s="36"/>
    </row>
    <row r="221">
      <c r="F221" s="36"/>
      <c r="G221" s="36"/>
    </row>
    <row r="222">
      <c r="F222" s="36"/>
      <c r="G222" s="36"/>
    </row>
    <row r="223">
      <c r="F223" s="36"/>
      <c r="G223" s="36"/>
    </row>
    <row r="224">
      <c r="F224" s="36"/>
      <c r="G224" s="36"/>
    </row>
    <row r="225">
      <c r="F225" s="36"/>
      <c r="G225" s="36"/>
    </row>
    <row r="226">
      <c r="F226" s="36"/>
      <c r="G226" s="36"/>
    </row>
    <row r="227">
      <c r="F227" s="36"/>
      <c r="G227" s="36"/>
    </row>
    <row r="228">
      <c r="F228" s="36"/>
      <c r="G228" s="36"/>
    </row>
    <row r="229">
      <c r="F229" s="36"/>
      <c r="G229" s="36"/>
    </row>
    <row r="230">
      <c r="F230" s="36"/>
      <c r="G230" s="36"/>
    </row>
    <row r="231">
      <c r="F231" s="36"/>
      <c r="G231" s="36"/>
    </row>
    <row r="232">
      <c r="F232" s="36"/>
      <c r="G232" s="36"/>
    </row>
    <row r="233">
      <c r="F233" s="36"/>
      <c r="G233" s="36"/>
    </row>
    <row r="234">
      <c r="F234" s="36"/>
      <c r="G234" s="36"/>
    </row>
    <row r="235">
      <c r="F235" s="36"/>
      <c r="G235" s="36"/>
    </row>
    <row r="236">
      <c r="F236" s="36"/>
      <c r="G236" s="36"/>
    </row>
    <row r="237">
      <c r="F237" s="36"/>
      <c r="G237" s="36"/>
    </row>
    <row r="238">
      <c r="F238" s="36"/>
      <c r="G238" s="36"/>
    </row>
    <row r="239">
      <c r="F239" s="36"/>
      <c r="G239" s="36"/>
    </row>
    <row r="240">
      <c r="F240" s="36"/>
      <c r="G240" s="36"/>
    </row>
    <row r="241">
      <c r="F241" s="36"/>
      <c r="G241" s="36"/>
    </row>
    <row r="242">
      <c r="F242" s="36"/>
      <c r="G242" s="36"/>
    </row>
    <row r="243">
      <c r="F243" s="36"/>
      <c r="G243" s="36"/>
    </row>
    <row r="244">
      <c r="F244" s="36"/>
      <c r="G244" s="36"/>
    </row>
    <row r="245">
      <c r="F245" s="36"/>
      <c r="G245" s="36"/>
    </row>
    <row r="246">
      <c r="F246" s="36"/>
      <c r="G246" s="36"/>
    </row>
    <row r="247">
      <c r="F247" s="36"/>
      <c r="G247" s="36"/>
    </row>
    <row r="248">
      <c r="F248" s="36"/>
      <c r="G248" s="36"/>
    </row>
    <row r="249">
      <c r="F249" s="36"/>
      <c r="G249" s="36"/>
    </row>
    <row r="250">
      <c r="F250" s="36"/>
      <c r="G250" s="36"/>
    </row>
    <row r="251">
      <c r="F251" s="36"/>
      <c r="G251" s="36"/>
    </row>
    <row r="252">
      <c r="F252" s="36"/>
      <c r="G252" s="36"/>
    </row>
    <row r="253">
      <c r="F253" s="36"/>
      <c r="G253" s="36"/>
    </row>
    <row r="254">
      <c r="F254" s="36"/>
      <c r="G254" s="36"/>
    </row>
    <row r="255">
      <c r="F255" s="36"/>
      <c r="G255" s="36"/>
    </row>
    <row r="256">
      <c r="F256" s="36"/>
      <c r="G256" s="36"/>
    </row>
    <row r="257">
      <c r="F257" s="36"/>
      <c r="G257" s="36"/>
    </row>
    <row r="258">
      <c r="F258" s="36"/>
      <c r="G258" s="36"/>
    </row>
    <row r="259">
      <c r="F259" s="36"/>
      <c r="G259" s="36"/>
    </row>
    <row r="260">
      <c r="F260" s="36"/>
      <c r="G260" s="36"/>
    </row>
    <row r="261">
      <c r="F261" s="36"/>
      <c r="G261" s="36"/>
    </row>
    <row r="262">
      <c r="F262" s="36"/>
      <c r="G262" s="36"/>
    </row>
    <row r="263">
      <c r="F263" s="36"/>
      <c r="G263" s="36"/>
    </row>
    <row r="264">
      <c r="F264" s="36"/>
      <c r="G264" s="36"/>
    </row>
    <row r="265">
      <c r="F265" s="36"/>
      <c r="G265" s="36"/>
    </row>
    <row r="266">
      <c r="F266" s="36"/>
      <c r="G266" s="36"/>
    </row>
    <row r="267">
      <c r="F267" s="36"/>
      <c r="G267" s="36"/>
    </row>
    <row r="268">
      <c r="F268" s="36"/>
      <c r="G268" s="36"/>
    </row>
    <row r="269">
      <c r="F269" s="36"/>
      <c r="G269" s="36"/>
    </row>
    <row r="270">
      <c r="F270" s="36"/>
      <c r="G270" s="36"/>
    </row>
    <row r="271">
      <c r="F271" s="36"/>
      <c r="G271" s="36"/>
    </row>
    <row r="272">
      <c r="F272" s="36"/>
      <c r="G272" s="36"/>
    </row>
    <row r="273">
      <c r="F273" s="36"/>
      <c r="G273" s="36"/>
    </row>
    <row r="274">
      <c r="F274" s="36"/>
      <c r="G274" s="36"/>
    </row>
    <row r="275">
      <c r="F275" s="36"/>
      <c r="G275" s="36"/>
    </row>
    <row r="276">
      <c r="F276" s="36"/>
      <c r="G276" s="36"/>
    </row>
    <row r="277">
      <c r="F277" s="36"/>
      <c r="G277" s="36"/>
    </row>
    <row r="278">
      <c r="F278" s="36"/>
      <c r="G278" s="36"/>
    </row>
    <row r="279">
      <c r="F279" s="36"/>
      <c r="G279" s="36"/>
    </row>
    <row r="280">
      <c r="F280" s="36"/>
      <c r="G280" s="36"/>
    </row>
    <row r="281">
      <c r="F281" s="36"/>
      <c r="G281" s="36"/>
    </row>
    <row r="282">
      <c r="F282" s="36"/>
      <c r="G282" s="36"/>
    </row>
    <row r="283">
      <c r="F283" s="36"/>
      <c r="G283" s="36"/>
    </row>
    <row r="284">
      <c r="F284" s="36"/>
      <c r="G284" s="36"/>
    </row>
    <row r="285">
      <c r="F285" s="36"/>
      <c r="G285" s="36"/>
    </row>
    <row r="286">
      <c r="F286" s="36"/>
      <c r="G286" s="36"/>
    </row>
    <row r="287">
      <c r="F287" s="36"/>
      <c r="G287" s="36"/>
    </row>
    <row r="288">
      <c r="F288" s="36"/>
      <c r="G288" s="36"/>
    </row>
    <row r="289">
      <c r="F289" s="36"/>
      <c r="G289" s="36"/>
    </row>
    <row r="290">
      <c r="F290" s="36"/>
      <c r="G290" s="36"/>
    </row>
    <row r="291">
      <c r="F291" s="36"/>
      <c r="G291" s="36"/>
    </row>
    <row r="292">
      <c r="F292" s="36"/>
      <c r="G292" s="36"/>
    </row>
    <row r="293">
      <c r="F293" s="36"/>
      <c r="G293" s="36"/>
    </row>
    <row r="294">
      <c r="F294" s="36"/>
      <c r="G294" s="36"/>
    </row>
    <row r="295">
      <c r="F295" s="36"/>
      <c r="G295" s="36"/>
    </row>
    <row r="296">
      <c r="F296" s="36"/>
      <c r="G296" s="36"/>
    </row>
    <row r="297">
      <c r="F297" s="36"/>
      <c r="G297" s="36"/>
    </row>
    <row r="298">
      <c r="F298" s="36"/>
      <c r="G298" s="36"/>
    </row>
    <row r="299">
      <c r="F299" s="36"/>
      <c r="G299" s="36"/>
    </row>
    <row r="300">
      <c r="F300" s="36"/>
      <c r="G300" s="36"/>
    </row>
    <row r="301">
      <c r="F301" s="36"/>
      <c r="G301" s="36"/>
    </row>
    <row r="302">
      <c r="F302" s="36"/>
      <c r="G302" s="36"/>
    </row>
    <row r="303">
      <c r="F303" s="36"/>
      <c r="G303" s="36"/>
    </row>
    <row r="304">
      <c r="F304" s="36"/>
      <c r="G304" s="36"/>
    </row>
    <row r="305">
      <c r="F305" s="36"/>
      <c r="G305" s="36"/>
    </row>
    <row r="306">
      <c r="F306" s="36"/>
      <c r="G306" s="36"/>
    </row>
    <row r="307">
      <c r="F307" s="36"/>
      <c r="G307" s="36"/>
    </row>
    <row r="308">
      <c r="F308" s="36"/>
      <c r="G308" s="36"/>
    </row>
    <row r="309">
      <c r="F309" s="36"/>
      <c r="G309" s="36"/>
    </row>
    <row r="310">
      <c r="F310" s="36"/>
      <c r="G310" s="36"/>
    </row>
    <row r="311">
      <c r="F311" s="36"/>
      <c r="G311" s="36"/>
    </row>
    <row r="312">
      <c r="F312" s="36"/>
      <c r="G312" s="36"/>
    </row>
    <row r="313">
      <c r="F313" s="36"/>
      <c r="G313" s="36"/>
    </row>
    <row r="314">
      <c r="F314" s="36"/>
      <c r="G314" s="36"/>
    </row>
    <row r="315">
      <c r="F315" s="36"/>
      <c r="G315" s="36"/>
    </row>
    <row r="316">
      <c r="F316" s="36"/>
      <c r="G316" s="36"/>
    </row>
    <row r="317">
      <c r="F317" s="36"/>
      <c r="G317" s="36"/>
    </row>
    <row r="318">
      <c r="F318" s="36"/>
      <c r="G318" s="36"/>
    </row>
    <row r="319">
      <c r="F319" s="36"/>
      <c r="G319" s="36"/>
    </row>
    <row r="320">
      <c r="F320" s="36"/>
      <c r="G320" s="36"/>
    </row>
    <row r="321">
      <c r="F321" s="36"/>
      <c r="G321" s="36"/>
    </row>
    <row r="322">
      <c r="F322" s="36"/>
      <c r="G322" s="36"/>
    </row>
    <row r="323">
      <c r="F323" s="36"/>
      <c r="G323" s="36"/>
    </row>
    <row r="324">
      <c r="F324" s="36"/>
      <c r="G324" s="36"/>
    </row>
    <row r="325">
      <c r="F325" s="36"/>
      <c r="G325" s="36"/>
    </row>
    <row r="326">
      <c r="F326" s="36"/>
      <c r="G326" s="36"/>
    </row>
    <row r="327">
      <c r="F327" s="36"/>
      <c r="G327" s="36"/>
    </row>
    <row r="328">
      <c r="F328" s="36"/>
      <c r="G328" s="36"/>
    </row>
    <row r="329">
      <c r="F329" s="36"/>
      <c r="G329" s="36"/>
    </row>
    <row r="330">
      <c r="F330" s="36"/>
      <c r="G330" s="36"/>
    </row>
    <row r="331">
      <c r="F331" s="36"/>
      <c r="G331" s="36"/>
    </row>
    <row r="332">
      <c r="F332" s="36"/>
      <c r="G332" s="36"/>
    </row>
    <row r="333">
      <c r="F333" s="36"/>
      <c r="G333" s="36"/>
    </row>
    <row r="334">
      <c r="F334" s="36"/>
      <c r="G334" s="36"/>
    </row>
    <row r="335">
      <c r="F335" s="36"/>
      <c r="G335" s="36"/>
    </row>
    <row r="336">
      <c r="F336" s="36"/>
      <c r="G336" s="36"/>
    </row>
    <row r="337">
      <c r="F337" s="36"/>
      <c r="G337" s="36"/>
    </row>
    <row r="338">
      <c r="F338" s="36"/>
      <c r="G338" s="36"/>
    </row>
    <row r="339">
      <c r="F339" s="36"/>
      <c r="G339" s="36"/>
    </row>
    <row r="340">
      <c r="F340" s="36"/>
      <c r="G340" s="36"/>
    </row>
    <row r="341">
      <c r="F341" s="36"/>
      <c r="G341" s="36"/>
    </row>
    <row r="342">
      <c r="F342" s="36"/>
      <c r="G342" s="36"/>
    </row>
    <row r="343">
      <c r="F343" s="36"/>
      <c r="G343" s="36"/>
    </row>
    <row r="344">
      <c r="F344" s="36"/>
      <c r="G344" s="36"/>
    </row>
    <row r="345">
      <c r="F345" s="36"/>
      <c r="G345" s="36"/>
    </row>
    <row r="346">
      <c r="F346" s="36"/>
      <c r="G346" s="36"/>
    </row>
    <row r="347">
      <c r="F347" s="36"/>
      <c r="G347" s="36"/>
    </row>
    <row r="348">
      <c r="F348" s="36"/>
      <c r="G348" s="36"/>
    </row>
    <row r="349">
      <c r="F349" s="36"/>
      <c r="G349" s="36"/>
    </row>
    <row r="350">
      <c r="F350" s="36"/>
      <c r="G350" s="36"/>
    </row>
    <row r="351">
      <c r="F351" s="36"/>
      <c r="G351" s="36"/>
    </row>
    <row r="352">
      <c r="F352" s="36"/>
      <c r="G352" s="36"/>
    </row>
    <row r="353">
      <c r="F353" s="36"/>
      <c r="G353" s="36"/>
    </row>
    <row r="354">
      <c r="F354" s="36"/>
      <c r="G354" s="36"/>
    </row>
    <row r="355">
      <c r="F355" s="36"/>
      <c r="G355" s="36"/>
    </row>
    <row r="356">
      <c r="F356" s="36"/>
      <c r="G356" s="36"/>
    </row>
    <row r="357">
      <c r="F357" s="36"/>
      <c r="G357" s="36"/>
    </row>
    <row r="358">
      <c r="F358" s="36"/>
      <c r="G358" s="36"/>
    </row>
    <row r="359">
      <c r="F359" s="36"/>
      <c r="G359" s="36"/>
    </row>
    <row r="360">
      <c r="F360" s="36"/>
      <c r="G360" s="36"/>
    </row>
    <row r="361">
      <c r="F361" s="36"/>
      <c r="G361" s="36"/>
    </row>
    <row r="362">
      <c r="F362" s="36"/>
      <c r="G362" s="36"/>
    </row>
    <row r="363">
      <c r="F363" s="36"/>
      <c r="G363" s="36"/>
    </row>
    <row r="364">
      <c r="F364" s="36"/>
      <c r="G364" s="36"/>
    </row>
    <row r="365">
      <c r="F365" s="36"/>
      <c r="G365" s="36"/>
    </row>
    <row r="366">
      <c r="F366" s="36"/>
      <c r="G366" s="36"/>
    </row>
    <row r="367">
      <c r="F367" s="36"/>
      <c r="G367" s="36"/>
    </row>
    <row r="368">
      <c r="F368" s="36"/>
      <c r="G368" s="36"/>
    </row>
    <row r="369">
      <c r="F369" s="36"/>
      <c r="G369" s="36"/>
    </row>
    <row r="370">
      <c r="F370" s="36"/>
      <c r="G370" s="36"/>
    </row>
    <row r="371">
      <c r="F371" s="36"/>
      <c r="G371" s="36"/>
    </row>
    <row r="372">
      <c r="F372" s="36"/>
      <c r="G372" s="36"/>
    </row>
    <row r="373">
      <c r="F373" s="36"/>
      <c r="G373" s="36"/>
    </row>
    <row r="374">
      <c r="F374" s="36"/>
      <c r="G374" s="36"/>
    </row>
    <row r="375">
      <c r="F375" s="36"/>
      <c r="G375" s="36"/>
    </row>
    <row r="376">
      <c r="F376" s="36"/>
      <c r="G376" s="36"/>
    </row>
    <row r="377">
      <c r="F377" s="36"/>
      <c r="G377" s="36"/>
    </row>
    <row r="378">
      <c r="F378" s="36"/>
      <c r="G378" s="36"/>
    </row>
    <row r="379">
      <c r="F379" s="36"/>
      <c r="G379" s="36"/>
    </row>
    <row r="380">
      <c r="F380" s="36"/>
      <c r="G380" s="36"/>
    </row>
    <row r="381">
      <c r="F381" s="36"/>
      <c r="G381" s="36"/>
    </row>
    <row r="382">
      <c r="F382" s="36"/>
      <c r="G382" s="36"/>
    </row>
    <row r="383">
      <c r="F383" s="36"/>
      <c r="G383" s="36"/>
    </row>
    <row r="384">
      <c r="F384" s="36"/>
      <c r="G384" s="36"/>
    </row>
    <row r="385">
      <c r="F385" s="36"/>
      <c r="G385" s="36"/>
    </row>
    <row r="386">
      <c r="F386" s="36"/>
      <c r="G386" s="36"/>
    </row>
    <row r="387">
      <c r="F387" s="36"/>
      <c r="G387" s="36"/>
    </row>
    <row r="388">
      <c r="F388" s="36"/>
      <c r="G388" s="36"/>
    </row>
    <row r="389">
      <c r="F389" s="36"/>
      <c r="G389" s="36"/>
    </row>
    <row r="390">
      <c r="F390" s="36"/>
      <c r="G390" s="36"/>
    </row>
    <row r="391">
      <c r="F391" s="36"/>
      <c r="G391" s="36"/>
    </row>
    <row r="392">
      <c r="F392" s="36"/>
      <c r="G392" s="36"/>
    </row>
    <row r="393">
      <c r="F393" s="36"/>
      <c r="G393" s="36"/>
    </row>
    <row r="394">
      <c r="F394" s="36"/>
      <c r="G394" s="36"/>
    </row>
    <row r="395">
      <c r="F395" s="36"/>
      <c r="G395" s="36"/>
    </row>
    <row r="396">
      <c r="F396" s="36"/>
      <c r="G396" s="36"/>
    </row>
    <row r="397">
      <c r="F397" s="36"/>
      <c r="G397" s="36"/>
    </row>
    <row r="398">
      <c r="F398" s="36"/>
      <c r="G398" s="36"/>
    </row>
    <row r="399">
      <c r="F399" s="36"/>
      <c r="G399" s="36"/>
    </row>
    <row r="400">
      <c r="F400" s="36"/>
      <c r="G400" s="36"/>
    </row>
    <row r="401">
      <c r="F401" s="36"/>
      <c r="G401" s="36"/>
    </row>
    <row r="402">
      <c r="F402" s="36"/>
      <c r="G402" s="36"/>
    </row>
    <row r="403">
      <c r="F403" s="36"/>
      <c r="G403" s="36"/>
    </row>
    <row r="404">
      <c r="F404" s="36"/>
      <c r="G404" s="36"/>
    </row>
    <row r="405">
      <c r="F405" s="36"/>
      <c r="G405" s="36"/>
    </row>
    <row r="406">
      <c r="F406" s="36"/>
      <c r="G406" s="36"/>
    </row>
    <row r="407">
      <c r="F407" s="36"/>
      <c r="G407" s="36"/>
    </row>
    <row r="408">
      <c r="F408" s="36"/>
      <c r="G408" s="36"/>
    </row>
    <row r="409">
      <c r="F409" s="36"/>
      <c r="G409" s="36"/>
    </row>
    <row r="410">
      <c r="F410" s="36"/>
      <c r="G410" s="36"/>
    </row>
    <row r="411">
      <c r="F411" s="36"/>
      <c r="G411" s="36"/>
    </row>
    <row r="412">
      <c r="F412" s="36"/>
      <c r="G412" s="36"/>
    </row>
    <row r="413">
      <c r="F413" s="36"/>
      <c r="G413" s="36"/>
    </row>
    <row r="414">
      <c r="F414" s="36"/>
      <c r="G414" s="36"/>
    </row>
    <row r="415">
      <c r="F415" s="36"/>
      <c r="G415" s="36"/>
    </row>
    <row r="416">
      <c r="F416" s="36"/>
      <c r="G416" s="36"/>
    </row>
    <row r="417">
      <c r="F417" s="36"/>
      <c r="G417" s="36"/>
    </row>
    <row r="418">
      <c r="F418" s="36"/>
      <c r="G418" s="36"/>
    </row>
    <row r="419">
      <c r="F419" s="36"/>
      <c r="G419" s="36"/>
    </row>
    <row r="420">
      <c r="F420" s="36"/>
      <c r="G420" s="36"/>
    </row>
    <row r="421">
      <c r="F421" s="36"/>
      <c r="G421" s="36"/>
    </row>
    <row r="422">
      <c r="F422" s="36"/>
      <c r="G422" s="36"/>
    </row>
    <row r="423">
      <c r="F423" s="36"/>
      <c r="G423" s="36"/>
    </row>
    <row r="424">
      <c r="F424" s="36"/>
      <c r="G424" s="36"/>
    </row>
    <row r="425">
      <c r="F425" s="36"/>
      <c r="G425" s="36"/>
    </row>
    <row r="426">
      <c r="F426" s="36"/>
      <c r="G426" s="36"/>
    </row>
    <row r="427">
      <c r="F427" s="36"/>
      <c r="G427" s="36"/>
    </row>
    <row r="428">
      <c r="F428" s="36"/>
      <c r="G428" s="36"/>
    </row>
    <row r="429">
      <c r="F429" s="36"/>
      <c r="G429" s="36"/>
    </row>
    <row r="430">
      <c r="F430" s="36"/>
      <c r="G430" s="36"/>
    </row>
    <row r="431">
      <c r="F431" s="36"/>
      <c r="G431" s="36"/>
    </row>
    <row r="432">
      <c r="F432" s="36"/>
      <c r="G432" s="36"/>
    </row>
    <row r="433">
      <c r="F433" s="36"/>
      <c r="G433" s="36"/>
    </row>
    <row r="434">
      <c r="F434" s="36"/>
      <c r="G434" s="36"/>
    </row>
    <row r="435">
      <c r="F435" s="36"/>
      <c r="G435" s="36"/>
    </row>
    <row r="436">
      <c r="F436" s="36"/>
      <c r="G436" s="36"/>
    </row>
    <row r="437">
      <c r="F437" s="36"/>
      <c r="G437" s="36"/>
    </row>
    <row r="438">
      <c r="F438" s="36"/>
      <c r="G438" s="36"/>
    </row>
    <row r="439">
      <c r="F439" s="36"/>
      <c r="G439" s="36"/>
    </row>
    <row r="440">
      <c r="F440" s="36"/>
      <c r="G440" s="36"/>
    </row>
    <row r="441">
      <c r="F441" s="36"/>
      <c r="G441" s="36"/>
    </row>
    <row r="442">
      <c r="F442" s="36"/>
      <c r="G442" s="36"/>
    </row>
    <row r="443">
      <c r="F443" s="36"/>
      <c r="G443" s="36"/>
    </row>
    <row r="444">
      <c r="F444" s="36"/>
      <c r="G444" s="36"/>
    </row>
    <row r="445">
      <c r="F445" s="36"/>
      <c r="G445" s="36"/>
    </row>
    <row r="446">
      <c r="F446" s="36"/>
      <c r="G446" s="36"/>
    </row>
    <row r="447">
      <c r="F447" s="36"/>
      <c r="G447" s="36"/>
    </row>
    <row r="448">
      <c r="F448" s="36"/>
      <c r="G448" s="36"/>
    </row>
    <row r="449">
      <c r="F449" s="36"/>
      <c r="G449" s="36"/>
    </row>
    <row r="450">
      <c r="F450" s="36"/>
      <c r="G450" s="36"/>
    </row>
    <row r="451">
      <c r="F451" s="36"/>
      <c r="G451" s="36"/>
    </row>
    <row r="452">
      <c r="F452" s="36"/>
      <c r="G452" s="36"/>
    </row>
    <row r="453">
      <c r="F453" s="36"/>
      <c r="G453" s="36"/>
    </row>
    <row r="454">
      <c r="F454" s="36"/>
      <c r="G454" s="36"/>
    </row>
    <row r="455">
      <c r="F455" s="36"/>
      <c r="G455" s="36"/>
    </row>
    <row r="456">
      <c r="F456" s="36"/>
      <c r="G456" s="36"/>
    </row>
    <row r="457">
      <c r="F457" s="36"/>
      <c r="G457" s="36"/>
    </row>
    <row r="458">
      <c r="F458" s="36"/>
      <c r="G458" s="36"/>
    </row>
    <row r="459">
      <c r="F459" s="36"/>
      <c r="G459" s="36"/>
    </row>
    <row r="460">
      <c r="F460" s="36"/>
      <c r="G460" s="36"/>
    </row>
    <row r="461">
      <c r="F461" s="36"/>
      <c r="G461" s="36"/>
    </row>
    <row r="462">
      <c r="F462" s="36"/>
      <c r="G462" s="36"/>
    </row>
    <row r="463">
      <c r="F463" s="36"/>
      <c r="G463" s="36"/>
    </row>
    <row r="464">
      <c r="F464" s="36"/>
      <c r="G464" s="36"/>
    </row>
    <row r="465">
      <c r="F465" s="36"/>
      <c r="G465" s="36"/>
    </row>
    <row r="466">
      <c r="F466" s="36"/>
      <c r="G466" s="36"/>
    </row>
    <row r="467">
      <c r="F467" s="36"/>
      <c r="G467" s="36"/>
    </row>
    <row r="468">
      <c r="F468" s="36"/>
      <c r="G468" s="36"/>
    </row>
    <row r="469">
      <c r="F469" s="36"/>
      <c r="G469" s="36"/>
    </row>
    <row r="470">
      <c r="F470" s="36"/>
      <c r="G470" s="36"/>
    </row>
    <row r="471">
      <c r="F471" s="36"/>
      <c r="G471" s="36"/>
    </row>
    <row r="472">
      <c r="F472" s="36"/>
      <c r="G472" s="36"/>
    </row>
    <row r="473">
      <c r="F473" s="36"/>
      <c r="G473" s="36"/>
    </row>
    <row r="474">
      <c r="F474" s="36"/>
      <c r="G474" s="36"/>
    </row>
    <row r="475">
      <c r="F475" s="36"/>
      <c r="G475" s="36"/>
    </row>
    <row r="476">
      <c r="F476" s="36"/>
      <c r="G476" s="36"/>
    </row>
    <row r="477">
      <c r="F477" s="36"/>
      <c r="G477" s="36"/>
    </row>
    <row r="478">
      <c r="F478" s="36"/>
      <c r="G478" s="36"/>
    </row>
    <row r="479">
      <c r="F479" s="36"/>
      <c r="G479" s="36"/>
    </row>
    <row r="480">
      <c r="F480" s="36"/>
      <c r="G480" s="36"/>
    </row>
    <row r="481">
      <c r="F481" s="36"/>
      <c r="G481" s="36"/>
    </row>
    <row r="482">
      <c r="F482" s="36"/>
      <c r="G482" s="36"/>
    </row>
    <row r="483">
      <c r="F483" s="36"/>
      <c r="G483" s="36"/>
    </row>
    <row r="484">
      <c r="F484" s="36"/>
      <c r="G484" s="36"/>
    </row>
    <row r="485">
      <c r="F485" s="36"/>
      <c r="G485" s="36"/>
    </row>
    <row r="486">
      <c r="F486" s="36"/>
      <c r="G486" s="36"/>
    </row>
    <row r="487">
      <c r="F487" s="36"/>
      <c r="G487" s="36"/>
    </row>
    <row r="488">
      <c r="F488" s="36"/>
      <c r="G488" s="36"/>
    </row>
    <row r="489">
      <c r="F489" s="36"/>
      <c r="G489" s="36"/>
    </row>
    <row r="490">
      <c r="F490" s="36"/>
      <c r="G490" s="36"/>
    </row>
    <row r="491">
      <c r="F491" s="36"/>
      <c r="G491" s="36"/>
    </row>
    <row r="492">
      <c r="F492" s="36"/>
      <c r="G492" s="36"/>
    </row>
    <row r="493">
      <c r="F493" s="36"/>
      <c r="G493" s="36"/>
    </row>
    <row r="494">
      <c r="F494" s="36"/>
      <c r="G494" s="36"/>
    </row>
    <row r="495">
      <c r="F495" s="36"/>
      <c r="G495" s="36"/>
    </row>
    <row r="496">
      <c r="F496" s="36"/>
      <c r="G496" s="36"/>
    </row>
    <row r="497">
      <c r="F497" s="36"/>
      <c r="G497" s="36"/>
    </row>
    <row r="498">
      <c r="F498" s="36"/>
      <c r="G498" s="36"/>
    </row>
    <row r="499">
      <c r="F499" s="36"/>
      <c r="G499" s="36"/>
    </row>
    <row r="500">
      <c r="F500" s="36"/>
      <c r="G500" s="36"/>
    </row>
    <row r="501">
      <c r="F501" s="36"/>
      <c r="G501" s="36"/>
    </row>
    <row r="502">
      <c r="F502" s="36"/>
      <c r="G502" s="36"/>
    </row>
    <row r="503">
      <c r="F503" s="36"/>
      <c r="G503" s="36"/>
    </row>
    <row r="504">
      <c r="F504" s="36"/>
      <c r="G504" s="36"/>
    </row>
    <row r="505">
      <c r="F505" s="36"/>
      <c r="G505" s="36"/>
    </row>
    <row r="506">
      <c r="F506" s="36"/>
      <c r="G506" s="36"/>
    </row>
    <row r="507">
      <c r="F507" s="36"/>
      <c r="G507" s="36"/>
    </row>
    <row r="508">
      <c r="F508" s="36"/>
      <c r="G508" s="36"/>
    </row>
    <row r="509">
      <c r="F509" s="36"/>
      <c r="G509" s="36"/>
    </row>
    <row r="510">
      <c r="F510" s="36"/>
      <c r="G510" s="36"/>
    </row>
    <row r="511">
      <c r="F511" s="36"/>
      <c r="G511" s="36"/>
    </row>
    <row r="512">
      <c r="F512" s="36"/>
      <c r="G512" s="36"/>
    </row>
    <row r="513">
      <c r="F513" s="36"/>
      <c r="G513" s="36"/>
    </row>
    <row r="514">
      <c r="F514" s="36"/>
      <c r="G514" s="36"/>
    </row>
    <row r="515">
      <c r="F515" s="36"/>
      <c r="G515" s="36"/>
    </row>
    <row r="516">
      <c r="F516" s="36"/>
      <c r="G516" s="36"/>
    </row>
    <row r="517">
      <c r="F517" s="36"/>
      <c r="G517" s="36"/>
    </row>
    <row r="518">
      <c r="F518" s="36"/>
      <c r="G518" s="36"/>
    </row>
    <row r="519">
      <c r="F519" s="36"/>
      <c r="G519" s="36"/>
    </row>
    <row r="520">
      <c r="F520" s="36"/>
      <c r="G520" s="36"/>
    </row>
    <row r="521">
      <c r="F521" s="36"/>
      <c r="G521" s="36"/>
    </row>
    <row r="522">
      <c r="F522" s="36"/>
      <c r="G522" s="36"/>
    </row>
    <row r="523">
      <c r="F523" s="36"/>
      <c r="G523" s="36"/>
    </row>
    <row r="524">
      <c r="F524" s="36"/>
      <c r="G524" s="36"/>
    </row>
    <row r="525">
      <c r="F525" s="36"/>
      <c r="G525" s="36"/>
    </row>
    <row r="526">
      <c r="F526" s="36"/>
      <c r="G526" s="36"/>
    </row>
    <row r="527">
      <c r="F527" s="36"/>
      <c r="G527" s="36"/>
    </row>
    <row r="528">
      <c r="F528" s="36"/>
      <c r="G528" s="36"/>
    </row>
    <row r="529">
      <c r="F529" s="36"/>
      <c r="G529" s="36"/>
    </row>
    <row r="530">
      <c r="F530" s="36"/>
      <c r="G530" s="36"/>
    </row>
    <row r="531">
      <c r="F531" s="36"/>
      <c r="G531" s="36"/>
    </row>
    <row r="532">
      <c r="F532" s="36"/>
      <c r="G532" s="36"/>
    </row>
    <row r="533">
      <c r="F533" s="36"/>
      <c r="G533" s="36"/>
    </row>
    <row r="534">
      <c r="F534" s="36"/>
      <c r="G534" s="36"/>
    </row>
    <row r="535">
      <c r="F535" s="36"/>
      <c r="G535" s="36"/>
    </row>
    <row r="536">
      <c r="F536" s="36"/>
      <c r="G536" s="36"/>
    </row>
    <row r="537">
      <c r="F537" s="36"/>
      <c r="G537" s="36"/>
    </row>
    <row r="538">
      <c r="F538" s="36"/>
      <c r="G538" s="36"/>
    </row>
    <row r="539">
      <c r="F539" s="36"/>
      <c r="G539" s="36"/>
    </row>
    <row r="540">
      <c r="F540" s="36"/>
      <c r="G540" s="36"/>
    </row>
    <row r="541">
      <c r="F541" s="36"/>
      <c r="G541" s="36"/>
    </row>
    <row r="542">
      <c r="F542" s="36"/>
      <c r="G542" s="36"/>
    </row>
    <row r="543">
      <c r="F543" s="36"/>
      <c r="G543" s="36"/>
    </row>
    <row r="544">
      <c r="F544" s="36"/>
      <c r="G544" s="36"/>
    </row>
    <row r="545">
      <c r="F545" s="36"/>
      <c r="G545" s="36"/>
    </row>
    <row r="546">
      <c r="F546" s="36"/>
      <c r="G546" s="36"/>
    </row>
    <row r="547">
      <c r="F547" s="36"/>
      <c r="G547" s="36"/>
    </row>
    <row r="548">
      <c r="F548" s="36"/>
      <c r="G548" s="36"/>
    </row>
    <row r="549">
      <c r="F549" s="36"/>
      <c r="G549" s="36"/>
    </row>
    <row r="550">
      <c r="F550" s="36"/>
      <c r="G550" s="36"/>
    </row>
    <row r="551">
      <c r="F551" s="36"/>
      <c r="G551" s="36"/>
    </row>
    <row r="552">
      <c r="F552" s="36"/>
      <c r="G552" s="36"/>
    </row>
    <row r="553">
      <c r="F553" s="36"/>
      <c r="G553" s="36"/>
    </row>
    <row r="554">
      <c r="F554" s="36"/>
      <c r="G554" s="36"/>
    </row>
    <row r="555">
      <c r="F555" s="36"/>
      <c r="G555" s="36"/>
    </row>
    <row r="556">
      <c r="F556" s="36"/>
      <c r="G556" s="36"/>
    </row>
    <row r="557">
      <c r="F557" s="36"/>
      <c r="G557" s="36"/>
    </row>
    <row r="558">
      <c r="F558" s="36"/>
      <c r="G558" s="36"/>
    </row>
    <row r="559">
      <c r="F559" s="36"/>
      <c r="G559" s="36"/>
    </row>
    <row r="560">
      <c r="F560" s="36"/>
      <c r="G560" s="36"/>
    </row>
    <row r="561">
      <c r="F561" s="36"/>
      <c r="G561" s="36"/>
    </row>
    <row r="562">
      <c r="F562" s="36"/>
      <c r="G562" s="36"/>
    </row>
    <row r="563">
      <c r="F563" s="36"/>
      <c r="G563" s="36"/>
    </row>
    <row r="564">
      <c r="F564" s="36"/>
      <c r="G564" s="36"/>
    </row>
    <row r="565">
      <c r="F565" s="36"/>
      <c r="G565" s="36"/>
    </row>
    <row r="566">
      <c r="F566" s="36"/>
      <c r="G566" s="36"/>
    </row>
    <row r="567">
      <c r="F567" s="36"/>
      <c r="G567" s="36"/>
    </row>
    <row r="568">
      <c r="F568" s="36"/>
      <c r="G568" s="36"/>
    </row>
    <row r="569">
      <c r="F569" s="36"/>
      <c r="G569" s="36"/>
    </row>
    <row r="570">
      <c r="F570" s="36"/>
      <c r="G570" s="36"/>
    </row>
    <row r="571">
      <c r="F571" s="36"/>
      <c r="G571" s="36"/>
    </row>
    <row r="572">
      <c r="F572" s="36"/>
      <c r="G572" s="36"/>
    </row>
    <row r="573">
      <c r="F573" s="36"/>
      <c r="G573" s="36"/>
    </row>
    <row r="574">
      <c r="F574" s="36"/>
      <c r="G574" s="36"/>
    </row>
    <row r="575">
      <c r="F575" s="36"/>
      <c r="G575" s="36"/>
    </row>
    <row r="576">
      <c r="F576" s="36"/>
      <c r="G576" s="36"/>
    </row>
    <row r="577">
      <c r="F577" s="36"/>
      <c r="G577" s="36"/>
    </row>
    <row r="578">
      <c r="F578" s="36"/>
      <c r="G578" s="36"/>
    </row>
    <row r="579">
      <c r="F579" s="36"/>
      <c r="G579" s="36"/>
    </row>
    <row r="580">
      <c r="F580" s="36"/>
      <c r="G580" s="36"/>
    </row>
    <row r="581">
      <c r="F581" s="36"/>
      <c r="G581" s="36"/>
    </row>
    <row r="582">
      <c r="F582" s="36"/>
      <c r="G582" s="36"/>
    </row>
    <row r="583">
      <c r="F583" s="36"/>
      <c r="G583" s="36"/>
    </row>
    <row r="584">
      <c r="F584" s="36"/>
      <c r="G584" s="36"/>
    </row>
    <row r="585">
      <c r="F585" s="36"/>
      <c r="G585" s="36"/>
    </row>
    <row r="586">
      <c r="F586" s="36"/>
      <c r="G586" s="36"/>
    </row>
    <row r="587">
      <c r="F587" s="36"/>
      <c r="G587" s="36"/>
    </row>
    <row r="588">
      <c r="F588" s="36"/>
      <c r="G588" s="36"/>
    </row>
    <row r="589">
      <c r="F589" s="36"/>
      <c r="G589" s="36"/>
    </row>
    <row r="590">
      <c r="F590" s="36"/>
      <c r="G590" s="36"/>
    </row>
    <row r="591">
      <c r="F591" s="36"/>
      <c r="G591" s="36"/>
    </row>
    <row r="592">
      <c r="F592" s="36"/>
      <c r="G592" s="36"/>
    </row>
    <row r="593">
      <c r="F593" s="36"/>
      <c r="G593" s="36"/>
    </row>
    <row r="594">
      <c r="F594" s="36"/>
      <c r="G594" s="36"/>
    </row>
    <row r="595">
      <c r="F595" s="36"/>
      <c r="G595" s="36"/>
    </row>
    <row r="596">
      <c r="F596" s="36"/>
      <c r="G596" s="36"/>
    </row>
    <row r="597">
      <c r="F597" s="36"/>
      <c r="G597" s="36"/>
    </row>
    <row r="598">
      <c r="F598" s="36"/>
      <c r="G598" s="36"/>
    </row>
    <row r="599">
      <c r="F599" s="36"/>
      <c r="G599" s="36"/>
    </row>
    <row r="600">
      <c r="F600" s="36"/>
      <c r="G600" s="36"/>
    </row>
    <row r="601">
      <c r="F601" s="36"/>
      <c r="G601" s="36"/>
    </row>
    <row r="602">
      <c r="F602" s="36"/>
      <c r="G602" s="36"/>
    </row>
    <row r="603">
      <c r="F603" s="36"/>
      <c r="G603" s="36"/>
    </row>
    <row r="604">
      <c r="F604" s="36"/>
      <c r="G604" s="36"/>
    </row>
    <row r="605">
      <c r="F605" s="36"/>
      <c r="G605" s="36"/>
    </row>
    <row r="606">
      <c r="F606" s="36"/>
      <c r="G606" s="36"/>
    </row>
    <row r="607">
      <c r="F607" s="36"/>
      <c r="G607" s="36"/>
    </row>
    <row r="608">
      <c r="F608" s="36"/>
      <c r="G608" s="36"/>
    </row>
    <row r="609">
      <c r="F609" s="36"/>
      <c r="G609" s="36"/>
    </row>
    <row r="610">
      <c r="F610" s="36"/>
      <c r="G610" s="36"/>
    </row>
    <row r="611">
      <c r="F611" s="36"/>
      <c r="G611" s="36"/>
    </row>
    <row r="612">
      <c r="F612" s="36"/>
      <c r="G612" s="36"/>
    </row>
    <row r="613">
      <c r="F613" s="36"/>
      <c r="G613" s="36"/>
    </row>
    <row r="614">
      <c r="F614" s="36"/>
      <c r="G614" s="36"/>
    </row>
    <row r="615">
      <c r="F615" s="36"/>
      <c r="G615" s="36"/>
    </row>
    <row r="616">
      <c r="F616" s="36"/>
      <c r="G616" s="36"/>
    </row>
    <row r="617">
      <c r="F617" s="36"/>
      <c r="G617" s="36"/>
    </row>
    <row r="618">
      <c r="F618" s="36"/>
      <c r="G618" s="36"/>
    </row>
    <row r="619">
      <c r="F619" s="36"/>
      <c r="G619" s="36"/>
    </row>
    <row r="620">
      <c r="F620" s="36"/>
      <c r="G620" s="36"/>
    </row>
    <row r="621">
      <c r="F621" s="36"/>
      <c r="G621" s="36"/>
    </row>
    <row r="622">
      <c r="F622" s="36"/>
      <c r="G622" s="36"/>
    </row>
    <row r="623">
      <c r="F623" s="36"/>
      <c r="G623" s="36"/>
    </row>
    <row r="624">
      <c r="F624" s="36"/>
      <c r="G624" s="36"/>
    </row>
    <row r="625">
      <c r="F625" s="36"/>
      <c r="G625" s="36"/>
    </row>
    <row r="626">
      <c r="F626" s="36"/>
      <c r="G626" s="36"/>
    </row>
    <row r="627">
      <c r="F627" s="36"/>
      <c r="G627" s="36"/>
    </row>
    <row r="628">
      <c r="F628" s="36"/>
      <c r="G628" s="36"/>
    </row>
    <row r="629">
      <c r="F629" s="36"/>
      <c r="G629" s="36"/>
    </row>
    <row r="630">
      <c r="F630" s="36"/>
      <c r="G630" s="36"/>
    </row>
    <row r="631">
      <c r="F631" s="36"/>
      <c r="G631" s="36"/>
    </row>
    <row r="632">
      <c r="F632" s="36"/>
      <c r="G632" s="36"/>
    </row>
    <row r="633">
      <c r="F633" s="36"/>
      <c r="G633" s="36"/>
    </row>
    <row r="634">
      <c r="F634" s="36"/>
      <c r="G634" s="36"/>
    </row>
    <row r="635">
      <c r="F635" s="36"/>
      <c r="G635" s="36"/>
    </row>
    <row r="636">
      <c r="F636" s="36"/>
      <c r="G636" s="36"/>
    </row>
    <row r="637">
      <c r="F637" s="36"/>
      <c r="G637" s="36"/>
    </row>
    <row r="638">
      <c r="F638" s="36"/>
      <c r="G638" s="36"/>
    </row>
    <row r="639">
      <c r="F639" s="36"/>
      <c r="G639" s="36"/>
    </row>
    <row r="640">
      <c r="F640" s="36"/>
      <c r="G640" s="36"/>
    </row>
    <row r="641">
      <c r="F641" s="36"/>
      <c r="G641" s="36"/>
    </row>
    <row r="642">
      <c r="F642" s="36"/>
      <c r="G642" s="36"/>
    </row>
    <row r="643">
      <c r="F643" s="36"/>
      <c r="G643" s="36"/>
    </row>
    <row r="644">
      <c r="F644" s="36"/>
      <c r="G644" s="36"/>
    </row>
    <row r="645">
      <c r="F645" s="36"/>
      <c r="G645" s="36"/>
    </row>
    <row r="646">
      <c r="F646" s="36"/>
      <c r="G646" s="36"/>
    </row>
    <row r="647">
      <c r="F647" s="36"/>
      <c r="G647" s="36"/>
    </row>
    <row r="648">
      <c r="F648" s="36"/>
      <c r="G648" s="36"/>
    </row>
    <row r="649">
      <c r="F649" s="36"/>
      <c r="G649" s="36"/>
    </row>
    <row r="650">
      <c r="F650" s="36"/>
      <c r="G650" s="36"/>
    </row>
    <row r="651">
      <c r="F651" s="36"/>
      <c r="G651" s="36"/>
    </row>
    <row r="652">
      <c r="F652" s="36"/>
      <c r="G652" s="36"/>
    </row>
    <row r="653">
      <c r="F653" s="36"/>
      <c r="G653" s="36"/>
    </row>
    <row r="654">
      <c r="F654" s="36"/>
      <c r="G654" s="36"/>
    </row>
    <row r="655">
      <c r="F655" s="36"/>
      <c r="G655" s="36"/>
    </row>
    <row r="656">
      <c r="F656" s="36"/>
      <c r="G656" s="36"/>
    </row>
    <row r="657">
      <c r="F657" s="36"/>
      <c r="G657" s="36"/>
    </row>
    <row r="658">
      <c r="F658" s="36"/>
      <c r="G658" s="36"/>
    </row>
    <row r="659">
      <c r="F659" s="36"/>
      <c r="G659" s="36"/>
    </row>
    <row r="660">
      <c r="F660" s="36"/>
      <c r="G660" s="36"/>
    </row>
    <row r="661">
      <c r="F661" s="36"/>
      <c r="G661" s="36"/>
    </row>
    <row r="662">
      <c r="F662" s="36"/>
      <c r="G662" s="36"/>
    </row>
    <row r="663">
      <c r="F663" s="36"/>
      <c r="G663" s="36"/>
    </row>
    <row r="664">
      <c r="F664" s="36"/>
      <c r="G664" s="36"/>
    </row>
    <row r="665">
      <c r="F665" s="36"/>
      <c r="G665" s="36"/>
    </row>
    <row r="666">
      <c r="F666" s="36"/>
      <c r="G666" s="36"/>
    </row>
    <row r="667">
      <c r="F667" s="36"/>
      <c r="G667" s="36"/>
    </row>
    <row r="668">
      <c r="F668" s="36"/>
      <c r="G668" s="36"/>
    </row>
    <row r="669">
      <c r="F669" s="36"/>
      <c r="G669" s="36"/>
    </row>
    <row r="670">
      <c r="F670" s="36"/>
      <c r="G670" s="36"/>
    </row>
    <row r="671">
      <c r="F671" s="36"/>
      <c r="G671" s="36"/>
    </row>
    <row r="672">
      <c r="F672" s="36"/>
      <c r="G672" s="36"/>
    </row>
    <row r="673">
      <c r="F673" s="36"/>
      <c r="G673" s="36"/>
    </row>
    <row r="674">
      <c r="F674" s="36"/>
      <c r="G674" s="36"/>
    </row>
    <row r="675">
      <c r="F675" s="36"/>
      <c r="G675" s="36"/>
    </row>
    <row r="676">
      <c r="F676" s="36"/>
      <c r="G676" s="36"/>
    </row>
    <row r="677">
      <c r="F677" s="36"/>
      <c r="G677" s="36"/>
    </row>
    <row r="678">
      <c r="F678" s="36"/>
      <c r="G678" s="36"/>
    </row>
    <row r="679">
      <c r="F679" s="36"/>
      <c r="G679" s="36"/>
    </row>
    <row r="680">
      <c r="F680" s="36"/>
      <c r="G680" s="36"/>
    </row>
    <row r="681">
      <c r="F681" s="36"/>
      <c r="G681" s="36"/>
    </row>
    <row r="682">
      <c r="F682" s="36"/>
      <c r="G682" s="36"/>
    </row>
    <row r="683">
      <c r="F683" s="36"/>
      <c r="G683" s="36"/>
    </row>
    <row r="684">
      <c r="F684" s="36"/>
      <c r="G684" s="36"/>
    </row>
    <row r="685">
      <c r="F685" s="36"/>
      <c r="G685" s="36"/>
    </row>
    <row r="686">
      <c r="F686" s="36"/>
      <c r="G686" s="36"/>
    </row>
    <row r="687">
      <c r="F687" s="36"/>
      <c r="G687" s="36"/>
    </row>
    <row r="688">
      <c r="F688" s="36"/>
      <c r="G688" s="36"/>
    </row>
    <row r="689">
      <c r="F689" s="36"/>
      <c r="G689" s="36"/>
    </row>
    <row r="690">
      <c r="F690" s="36"/>
      <c r="G690" s="36"/>
    </row>
    <row r="691">
      <c r="F691" s="36"/>
      <c r="G691" s="36"/>
    </row>
    <row r="692">
      <c r="F692" s="36"/>
      <c r="G692" s="36"/>
    </row>
    <row r="693">
      <c r="F693" s="36"/>
      <c r="G693" s="36"/>
    </row>
    <row r="694">
      <c r="F694" s="36"/>
      <c r="G694" s="36"/>
    </row>
    <row r="695">
      <c r="F695" s="36"/>
      <c r="G695" s="36"/>
    </row>
    <row r="696">
      <c r="F696" s="36"/>
      <c r="G696" s="36"/>
    </row>
    <row r="697">
      <c r="F697" s="36"/>
      <c r="G697" s="36"/>
    </row>
    <row r="698">
      <c r="F698" s="36"/>
      <c r="G698" s="36"/>
    </row>
    <row r="699">
      <c r="F699" s="36"/>
      <c r="G699" s="36"/>
    </row>
    <row r="700">
      <c r="F700" s="36"/>
      <c r="G700" s="36"/>
    </row>
    <row r="701">
      <c r="F701" s="36"/>
      <c r="G701" s="36"/>
    </row>
    <row r="702">
      <c r="F702" s="36"/>
      <c r="G702" s="36"/>
    </row>
    <row r="703">
      <c r="F703" s="36"/>
      <c r="G703" s="36"/>
    </row>
    <row r="704">
      <c r="F704" s="36"/>
      <c r="G704" s="36"/>
    </row>
    <row r="705">
      <c r="F705" s="36"/>
      <c r="G705" s="36"/>
    </row>
    <row r="706">
      <c r="F706" s="36"/>
      <c r="G706" s="36"/>
    </row>
    <row r="707">
      <c r="F707" s="36"/>
      <c r="G707" s="36"/>
    </row>
    <row r="708">
      <c r="F708" s="36"/>
      <c r="G708" s="36"/>
    </row>
    <row r="709">
      <c r="F709" s="36"/>
      <c r="G709" s="36"/>
    </row>
    <row r="710">
      <c r="F710" s="36"/>
      <c r="G710" s="36"/>
    </row>
    <row r="711">
      <c r="F711" s="36"/>
      <c r="G711" s="36"/>
    </row>
    <row r="712">
      <c r="F712" s="36"/>
      <c r="G712" s="36"/>
    </row>
    <row r="713">
      <c r="F713" s="36"/>
      <c r="G713" s="36"/>
    </row>
    <row r="714">
      <c r="F714" s="36"/>
      <c r="G714" s="36"/>
    </row>
    <row r="715">
      <c r="F715" s="36"/>
      <c r="G715" s="36"/>
    </row>
    <row r="716">
      <c r="F716" s="36"/>
      <c r="G716" s="36"/>
    </row>
    <row r="717">
      <c r="F717" s="36"/>
      <c r="G717" s="36"/>
    </row>
    <row r="718">
      <c r="F718" s="36"/>
      <c r="G718" s="36"/>
    </row>
    <row r="719">
      <c r="F719" s="36"/>
      <c r="G719" s="36"/>
    </row>
    <row r="720">
      <c r="F720" s="36"/>
      <c r="G720" s="36"/>
    </row>
    <row r="721">
      <c r="F721" s="36"/>
      <c r="G721" s="36"/>
    </row>
    <row r="722">
      <c r="F722" s="36"/>
      <c r="G722" s="36"/>
    </row>
    <row r="723">
      <c r="F723" s="36"/>
      <c r="G723" s="36"/>
    </row>
    <row r="724">
      <c r="F724" s="36"/>
      <c r="G724" s="36"/>
    </row>
    <row r="725">
      <c r="F725" s="36"/>
      <c r="G725" s="36"/>
    </row>
    <row r="726">
      <c r="F726" s="36"/>
      <c r="G726" s="36"/>
    </row>
    <row r="727">
      <c r="F727" s="36"/>
      <c r="G727" s="36"/>
    </row>
    <row r="728">
      <c r="F728" s="36"/>
      <c r="G728" s="36"/>
    </row>
    <row r="729">
      <c r="F729" s="36"/>
      <c r="G729" s="36"/>
    </row>
    <row r="730">
      <c r="F730" s="36"/>
      <c r="G730" s="36"/>
    </row>
    <row r="731">
      <c r="F731" s="36"/>
      <c r="G731" s="36"/>
    </row>
    <row r="732">
      <c r="F732" s="36"/>
      <c r="G732" s="36"/>
    </row>
    <row r="733">
      <c r="F733" s="36"/>
      <c r="G733" s="36"/>
    </row>
    <row r="734">
      <c r="F734" s="36"/>
      <c r="G734" s="36"/>
    </row>
    <row r="735">
      <c r="F735" s="36"/>
      <c r="G735" s="36"/>
    </row>
    <row r="736">
      <c r="F736" s="36"/>
      <c r="G736" s="36"/>
    </row>
    <row r="737">
      <c r="F737" s="36"/>
      <c r="G737" s="36"/>
    </row>
    <row r="738">
      <c r="F738" s="36"/>
      <c r="G738" s="36"/>
    </row>
    <row r="739">
      <c r="F739" s="36"/>
      <c r="G739" s="36"/>
    </row>
    <row r="740">
      <c r="F740" s="36"/>
      <c r="G740" s="36"/>
    </row>
    <row r="741">
      <c r="F741" s="36"/>
      <c r="G741" s="36"/>
    </row>
    <row r="742">
      <c r="F742" s="36"/>
      <c r="G742" s="36"/>
    </row>
    <row r="743">
      <c r="F743" s="36"/>
      <c r="G743" s="36"/>
    </row>
    <row r="744">
      <c r="F744" s="36"/>
      <c r="G744" s="36"/>
    </row>
    <row r="745">
      <c r="F745" s="36"/>
      <c r="G745" s="36"/>
    </row>
    <row r="746">
      <c r="F746" s="36"/>
      <c r="G746" s="36"/>
    </row>
    <row r="747">
      <c r="F747" s="36"/>
      <c r="G747" s="36"/>
    </row>
    <row r="748">
      <c r="F748" s="36"/>
      <c r="G748" s="36"/>
    </row>
    <row r="749">
      <c r="F749" s="36"/>
      <c r="G749" s="36"/>
    </row>
    <row r="750">
      <c r="F750" s="36"/>
      <c r="G750" s="36"/>
    </row>
    <row r="751">
      <c r="F751" s="36"/>
      <c r="G751" s="36"/>
    </row>
    <row r="752">
      <c r="F752" s="36"/>
      <c r="G752" s="36"/>
    </row>
    <row r="753">
      <c r="F753" s="36"/>
      <c r="G753" s="36"/>
    </row>
    <row r="754">
      <c r="F754" s="36"/>
      <c r="G754" s="36"/>
    </row>
    <row r="755">
      <c r="F755" s="36"/>
      <c r="G755" s="36"/>
    </row>
    <row r="756">
      <c r="F756" s="36"/>
      <c r="G756" s="36"/>
    </row>
    <row r="757">
      <c r="F757" s="36"/>
      <c r="G757" s="36"/>
    </row>
    <row r="758">
      <c r="F758" s="36"/>
      <c r="G758" s="36"/>
    </row>
    <row r="759">
      <c r="F759" s="36"/>
      <c r="G759" s="36"/>
    </row>
    <row r="760">
      <c r="F760" s="36"/>
      <c r="G760" s="36"/>
    </row>
    <row r="761">
      <c r="F761" s="36"/>
      <c r="G761" s="36"/>
    </row>
    <row r="762">
      <c r="F762" s="36"/>
      <c r="G762" s="36"/>
    </row>
    <row r="763">
      <c r="F763" s="36"/>
      <c r="G763" s="36"/>
    </row>
    <row r="764">
      <c r="F764" s="36"/>
      <c r="G764" s="36"/>
    </row>
    <row r="765">
      <c r="F765" s="36"/>
      <c r="G765" s="36"/>
    </row>
    <row r="766">
      <c r="F766" s="36"/>
      <c r="G766" s="36"/>
    </row>
    <row r="767">
      <c r="F767" s="36"/>
      <c r="G767" s="36"/>
    </row>
    <row r="768">
      <c r="F768" s="36"/>
      <c r="G768" s="36"/>
    </row>
    <row r="769">
      <c r="F769" s="36"/>
      <c r="G769" s="36"/>
    </row>
    <row r="770">
      <c r="F770" s="36"/>
      <c r="G770" s="36"/>
    </row>
    <row r="771">
      <c r="F771" s="36"/>
      <c r="G771" s="36"/>
    </row>
    <row r="772">
      <c r="F772" s="36"/>
      <c r="G772" s="36"/>
    </row>
    <row r="773">
      <c r="F773" s="36"/>
      <c r="G773" s="36"/>
    </row>
    <row r="774">
      <c r="F774" s="36"/>
      <c r="G774" s="36"/>
    </row>
    <row r="775">
      <c r="F775" s="36"/>
      <c r="G775" s="36"/>
    </row>
    <row r="776">
      <c r="F776" s="36"/>
      <c r="G776" s="36"/>
    </row>
    <row r="777">
      <c r="F777" s="36"/>
      <c r="G777" s="36"/>
    </row>
    <row r="778">
      <c r="F778" s="36"/>
      <c r="G778" s="36"/>
    </row>
    <row r="779">
      <c r="F779" s="36"/>
      <c r="G779" s="36"/>
    </row>
    <row r="780">
      <c r="F780" s="36"/>
      <c r="G780" s="36"/>
    </row>
    <row r="781">
      <c r="F781" s="36"/>
      <c r="G781" s="36"/>
    </row>
    <row r="782">
      <c r="F782" s="36"/>
      <c r="G782" s="36"/>
    </row>
    <row r="783">
      <c r="F783" s="36"/>
      <c r="G783" s="36"/>
    </row>
    <row r="784">
      <c r="F784" s="36"/>
      <c r="G784" s="36"/>
    </row>
    <row r="785">
      <c r="F785" s="36"/>
      <c r="G785" s="36"/>
    </row>
    <row r="786">
      <c r="F786" s="36"/>
      <c r="G786" s="36"/>
    </row>
    <row r="787">
      <c r="F787" s="36"/>
      <c r="G787" s="36"/>
    </row>
    <row r="788">
      <c r="F788" s="36"/>
      <c r="G788" s="36"/>
    </row>
    <row r="789">
      <c r="F789" s="36"/>
      <c r="G789" s="36"/>
    </row>
    <row r="790">
      <c r="F790" s="36"/>
      <c r="G790" s="36"/>
    </row>
    <row r="791">
      <c r="F791" s="36"/>
      <c r="G791" s="36"/>
    </row>
    <row r="792">
      <c r="F792" s="36"/>
      <c r="G792" s="36"/>
    </row>
    <row r="793">
      <c r="F793" s="36"/>
      <c r="G793" s="36"/>
    </row>
    <row r="794">
      <c r="F794" s="36"/>
      <c r="G794" s="36"/>
    </row>
    <row r="795">
      <c r="F795" s="36"/>
      <c r="G795" s="36"/>
    </row>
    <row r="796">
      <c r="F796" s="36"/>
      <c r="G796" s="36"/>
    </row>
    <row r="797">
      <c r="F797" s="36"/>
      <c r="G797" s="36"/>
    </row>
    <row r="798">
      <c r="F798" s="36"/>
      <c r="G798" s="36"/>
    </row>
    <row r="799">
      <c r="F799" s="36"/>
      <c r="G799" s="36"/>
    </row>
    <row r="800">
      <c r="F800" s="36"/>
      <c r="G800" s="36"/>
    </row>
    <row r="801">
      <c r="F801" s="36"/>
      <c r="G801" s="36"/>
    </row>
    <row r="802">
      <c r="F802" s="36"/>
      <c r="G802" s="36"/>
    </row>
    <row r="803">
      <c r="F803" s="36"/>
      <c r="G803" s="36"/>
    </row>
    <row r="804">
      <c r="F804" s="36"/>
      <c r="G804" s="36"/>
    </row>
    <row r="805">
      <c r="F805" s="36"/>
      <c r="G805" s="36"/>
    </row>
    <row r="806">
      <c r="F806" s="36"/>
      <c r="G806" s="36"/>
    </row>
    <row r="807">
      <c r="F807" s="36"/>
      <c r="G807" s="36"/>
    </row>
    <row r="808">
      <c r="F808" s="36"/>
      <c r="G808" s="36"/>
    </row>
    <row r="809">
      <c r="F809" s="36"/>
      <c r="G809" s="36"/>
    </row>
    <row r="810">
      <c r="F810" s="36"/>
      <c r="G810" s="36"/>
    </row>
    <row r="811">
      <c r="F811" s="36"/>
      <c r="G811" s="36"/>
    </row>
    <row r="812">
      <c r="F812" s="36"/>
      <c r="G812" s="36"/>
    </row>
    <row r="813">
      <c r="F813" s="36"/>
      <c r="G813" s="36"/>
    </row>
    <row r="814">
      <c r="F814" s="36"/>
      <c r="G814" s="36"/>
    </row>
    <row r="815">
      <c r="F815" s="36"/>
      <c r="G815" s="36"/>
    </row>
    <row r="816">
      <c r="F816" s="36"/>
      <c r="G816" s="36"/>
    </row>
    <row r="817">
      <c r="F817" s="36"/>
      <c r="G817" s="36"/>
    </row>
    <row r="818">
      <c r="F818" s="36"/>
      <c r="G818" s="36"/>
    </row>
    <row r="819">
      <c r="F819" s="36"/>
      <c r="G819" s="36"/>
    </row>
    <row r="820">
      <c r="F820" s="36"/>
      <c r="G820" s="36"/>
    </row>
    <row r="821">
      <c r="F821" s="36"/>
      <c r="G821" s="36"/>
    </row>
    <row r="822">
      <c r="F822" s="36"/>
      <c r="G822" s="36"/>
    </row>
    <row r="823">
      <c r="F823" s="36"/>
      <c r="G823" s="36"/>
    </row>
    <row r="824">
      <c r="F824" s="36"/>
      <c r="G824" s="36"/>
    </row>
    <row r="825">
      <c r="F825" s="36"/>
      <c r="G825" s="36"/>
    </row>
    <row r="826">
      <c r="F826" s="36"/>
      <c r="G826" s="36"/>
    </row>
    <row r="827">
      <c r="F827" s="36"/>
      <c r="G827" s="36"/>
    </row>
    <row r="828">
      <c r="F828" s="36"/>
      <c r="G828" s="36"/>
    </row>
    <row r="829">
      <c r="F829" s="36"/>
      <c r="G829" s="36"/>
    </row>
    <row r="830">
      <c r="F830" s="36"/>
      <c r="G830" s="36"/>
    </row>
    <row r="831">
      <c r="F831" s="36"/>
      <c r="G831" s="36"/>
    </row>
    <row r="832">
      <c r="F832" s="36"/>
      <c r="G832" s="36"/>
    </row>
    <row r="833">
      <c r="F833" s="36"/>
      <c r="G833" s="36"/>
    </row>
    <row r="834">
      <c r="F834" s="36"/>
      <c r="G834" s="36"/>
    </row>
    <row r="835">
      <c r="F835" s="36"/>
      <c r="G835" s="36"/>
    </row>
    <row r="836">
      <c r="F836" s="36"/>
      <c r="G836" s="36"/>
    </row>
    <row r="837">
      <c r="F837" s="36"/>
      <c r="G837" s="36"/>
    </row>
    <row r="838">
      <c r="F838" s="36"/>
      <c r="G838" s="36"/>
    </row>
    <row r="839">
      <c r="F839" s="36"/>
      <c r="G839" s="36"/>
    </row>
    <row r="840">
      <c r="F840" s="36"/>
      <c r="G840" s="36"/>
    </row>
    <row r="841">
      <c r="F841" s="36"/>
      <c r="G841" s="36"/>
    </row>
    <row r="842">
      <c r="F842" s="36"/>
      <c r="G842" s="36"/>
    </row>
    <row r="843">
      <c r="F843" s="36"/>
      <c r="G843" s="36"/>
    </row>
    <row r="844">
      <c r="F844" s="36"/>
      <c r="G844" s="36"/>
    </row>
    <row r="845">
      <c r="F845" s="36"/>
      <c r="G845" s="36"/>
    </row>
    <row r="846">
      <c r="F846" s="36"/>
      <c r="G846" s="36"/>
    </row>
    <row r="847">
      <c r="F847" s="36"/>
      <c r="G847" s="36"/>
    </row>
    <row r="848">
      <c r="F848" s="36"/>
      <c r="G848" s="36"/>
    </row>
    <row r="849">
      <c r="F849" s="36"/>
      <c r="G849" s="36"/>
    </row>
    <row r="850">
      <c r="F850" s="36"/>
      <c r="G850" s="36"/>
    </row>
    <row r="851">
      <c r="F851" s="36"/>
      <c r="G851" s="36"/>
    </row>
    <row r="852">
      <c r="F852" s="36"/>
      <c r="G852" s="36"/>
    </row>
    <row r="853">
      <c r="F853" s="36"/>
      <c r="G853" s="36"/>
    </row>
    <row r="854">
      <c r="F854" s="36"/>
      <c r="G854" s="36"/>
    </row>
    <row r="855">
      <c r="F855" s="36"/>
      <c r="G855" s="36"/>
    </row>
    <row r="856">
      <c r="F856" s="36"/>
      <c r="G856" s="36"/>
    </row>
    <row r="857">
      <c r="F857" s="36"/>
      <c r="G857" s="36"/>
    </row>
    <row r="858">
      <c r="F858" s="36"/>
      <c r="G858" s="36"/>
    </row>
    <row r="859">
      <c r="F859" s="36"/>
      <c r="G859" s="36"/>
    </row>
    <row r="860">
      <c r="F860" s="36"/>
      <c r="G860" s="36"/>
    </row>
    <row r="861">
      <c r="F861" s="36"/>
      <c r="G861" s="36"/>
    </row>
    <row r="862">
      <c r="F862" s="36"/>
      <c r="G862" s="36"/>
    </row>
    <row r="863">
      <c r="F863" s="36"/>
      <c r="G863" s="36"/>
    </row>
    <row r="864">
      <c r="F864" s="36"/>
      <c r="G864" s="36"/>
    </row>
    <row r="865">
      <c r="F865" s="36"/>
      <c r="G865" s="36"/>
    </row>
    <row r="866">
      <c r="F866" s="36"/>
      <c r="G866" s="36"/>
    </row>
    <row r="867">
      <c r="F867" s="36"/>
      <c r="G867" s="36"/>
    </row>
    <row r="868">
      <c r="F868" s="36"/>
      <c r="G868" s="36"/>
    </row>
    <row r="869">
      <c r="F869" s="36"/>
      <c r="G869" s="36"/>
    </row>
    <row r="870">
      <c r="F870" s="36"/>
      <c r="G870" s="36"/>
    </row>
    <row r="871">
      <c r="F871" s="36"/>
      <c r="G871" s="36"/>
    </row>
    <row r="872">
      <c r="F872" s="36"/>
      <c r="G872" s="36"/>
    </row>
    <row r="873">
      <c r="F873" s="36"/>
      <c r="G873" s="36"/>
    </row>
    <row r="874">
      <c r="F874" s="36"/>
      <c r="G874" s="36"/>
    </row>
    <row r="875">
      <c r="F875" s="36"/>
      <c r="G875" s="36"/>
    </row>
    <row r="876">
      <c r="F876" s="36"/>
      <c r="G876" s="36"/>
    </row>
    <row r="877">
      <c r="F877" s="36"/>
      <c r="G877" s="36"/>
    </row>
    <row r="878">
      <c r="F878" s="36"/>
      <c r="G878" s="36"/>
    </row>
    <row r="879">
      <c r="F879" s="36"/>
      <c r="G879" s="36"/>
    </row>
    <row r="880">
      <c r="F880" s="36"/>
      <c r="G880" s="36"/>
    </row>
    <row r="881">
      <c r="F881" s="36"/>
      <c r="G881" s="36"/>
    </row>
    <row r="882">
      <c r="F882" s="36"/>
      <c r="G882" s="36"/>
    </row>
    <row r="883">
      <c r="F883" s="36"/>
      <c r="G883" s="36"/>
    </row>
    <row r="884">
      <c r="F884" s="36"/>
      <c r="G884" s="36"/>
    </row>
    <row r="885">
      <c r="F885" s="36"/>
      <c r="G885" s="36"/>
    </row>
    <row r="886">
      <c r="F886" s="36"/>
      <c r="G886" s="36"/>
    </row>
    <row r="887">
      <c r="F887" s="36"/>
      <c r="G887" s="36"/>
    </row>
    <row r="888">
      <c r="F888" s="36"/>
      <c r="G888" s="36"/>
    </row>
    <row r="889">
      <c r="F889" s="36"/>
      <c r="G889" s="36"/>
    </row>
    <row r="890">
      <c r="F890" s="36"/>
      <c r="G890" s="36"/>
    </row>
    <row r="891">
      <c r="F891" s="36"/>
      <c r="G891" s="36"/>
    </row>
    <row r="892">
      <c r="F892" s="36"/>
      <c r="G892" s="36"/>
    </row>
    <row r="893">
      <c r="F893" s="36"/>
      <c r="G893" s="36"/>
    </row>
    <row r="894">
      <c r="F894" s="36"/>
      <c r="G894" s="36"/>
    </row>
    <row r="895">
      <c r="F895" s="36"/>
      <c r="G895" s="36"/>
    </row>
    <row r="896">
      <c r="F896" s="36"/>
      <c r="G896" s="36"/>
    </row>
    <row r="897">
      <c r="F897" s="36"/>
      <c r="G897" s="36"/>
    </row>
    <row r="898">
      <c r="F898" s="36"/>
      <c r="G898" s="36"/>
    </row>
    <row r="899">
      <c r="F899" s="36"/>
      <c r="G899" s="36"/>
    </row>
    <row r="900">
      <c r="F900" s="36"/>
      <c r="G900" s="36"/>
    </row>
    <row r="901">
      <c r="F901" s="36"/>
      <c r="G901" s="36"/>
    </row>
    <row r="902">
      <c r="F902" s="36"/>
      <c r="G902" s="36"/>
    </row>
    <row r="903">
      <c r="F903" s="36"/>
      <c r="G903" s="36"/>
    </row>
    <row r="904">
      <c r="F904" s="36"/>
      <c r="G904" s="36"/>
    </row>
    <row r="905">
      <c r="F905" s="36"/>
      <c r="G905" s="36"/>
    </row>
    <row r="906">
      <c r="F906" s="36"/>
      <c r="G906" s="36"/>
    </row>
    <row r="907">
      <c r="F907" s="36"/>
      <c r="G907" s="36"/>
    </row>
    <row r="908">
      <c r="F908" s="36"/>
      <c r="G908" s="36"/>
    </row>
    <row r="909">
      <c r="F909" s="36"/>
      <c r="G909" s="36"/>
    </row>
    <row r="910">
      <c r="F910" s="36"/>
      <c r="G910" s="36"/>
    </row>
    <row r="911">
      <c r="F911" s="36"/>
      <c r="G911" s="36"/>
    </row>
    <row r="912">
      <c r="F912" s="36"/>
      <c r="G912" s="36"/>
    </row>
    <row r="913">
      <c r="F913" s="36"/>
      <c r="G913" s="36"/>
    </row>
    <row r="914">
      <c r="F914" s="36"/>
      <c r="G914" s="36"/>
    </row>
    <row r="915">
      <c r="F915" s="36"/>
      <c r="G915" s="36"/>
    </row>
    <row r="916">
      <c r="F916" s="36"/>
      <c r="G916" s="36"/>
    </row>
    <row r="917">
      <c r="F917" s="36"/>
      <c r="G917" s="36"/>
    </row>
    <row r="918">
      <c r="F918" s="36"/>
      <c r="G918" s="36"/>
    </row>
    <row r="919">
      <c r="F919" s="36"/>
      <c r="G919" s="36"/>
    </row>
    <row r="920">
      <c r="F920" s="36"/>
      <c r="G920" s="36"/>
    </row>
    <row r="921">
      <c r="F921" s="36"/>
      <c r="G921" s="36"/>
    </row>
    <row r="922">
      <c r="F922" s="36"/>
      <c r="G922" s="36"/>
    </row>
    <row r="923">
      <c r="F923" s="36"/>
      <c r="G923" s="36"/>
    </row>
    <row r="924">
      <c r="F924" s="36"/>
      <c r="G924" s="36"/>
    </row>
    <row r="925">
      <c r="F925" s="36"/>
      <c r="G925" s="36"/>
    </row>
    <row r="926">
      <c r="F926" s="36"/>
      <c r="G926" s="36"/>
    </row>
    <row r="927">
      <c r="F927" s="36"/>
      <c r="G927" s="36"/>
    </row>
    <row r="928">
      <c r="F928" s="36"/>
      <c r="G928" s="36"/>
    </row>
    <row r="929">
      <c r="F929" s="36"/>
      <c r="G929" s="36"/>
    </row>
    <row r="930">
      <c r="F930" s="36"/>
      <c r="G930" s="36"/>
    </row>
    <row r="931">
      <c r="F931" s="36"/>
      <c r="G931" s="36"/>
    </row>
    <row r="932">
      <c r="F932" s="36"/>
      <c r="G932" s="36"/>
    </row>
    <row r="933">
      <c r="F933" s="36"/>
      <c r="G933" s="36"/>
    </row>
    <row r="934">
      <c r="F934" s="36"/>
      <c r="G934" s="36"/>
    </row>
    <row r="935">
      <c r="F935" s="36"/>
      <c r="G935" s="36"/>
    </row>
    <row r="936">
      <c r="F936" s="36"/>
      <c r="G936" s="36"/>
    </row>
    <row r="937">
      <c r="F937" s="36"/>
      <c r="G937" s="36"/>
    </row>
    <row r="938">
      <c r="F938" s="36"/>
      <c r="G938" s="36"/>
    </row>
    <row r="939">
      <c r="F939" s="36"/>
      <c r="G939" s="36"/>
    </row>
    <row r="940">
      <c r="F940" s="36"/>
      <c r="G940" s="36"/>
    </row>
    <row r="941">
      <c r="F941" s="36"/>
      <c r="G941" s="36"/>
    </row>
    <row r="942">
      <c r="F942" s="36"/>
      <c r="G942" s="36"/>
    </row>
    <row r="943">
      <c r="F943" s="36"/>
      <c r="G943" s="36"/>
    </row>
    <row r="944">
      <c r="F944" s="36"/>
      <c r="G944" s="36"/>
    </row>
    <row r="945">
      <c r="F945" s="36"/>
      <c r="G945" s="36"/>
    </row>
    <row r="946">
      <c r="F946" s="36"/>
      <c r="G946" s="36"/>
    </row>
    <row r="947">
      <c r="F947" s="36"/>
      <c r="G947" s="36"/>
    </row>
    <row r="948">
      <c r="F948" s="36"/>
      <c r="G948" s="36"/>
    </row>
    <row r="949">
      <c r="F949" s="36"/>
      <c r="G949" s="36"/>
    </row>
    <row r="950">
      <c r="F950" s="36"/>
      <c r="G950" s="36"/>
    </row>
    <row r="951">
      <c r="F951" s="36"/>
      <c r="G951" s="36"/>
    </row>
    <row r="952">
      <c r="F952" s="36"/>
      <c r="G952" s="36"/>
    </row>
    <row r="953">
      <c r="F953" s="36"/>
      <c r="G953" s="36"/>
    </row>
    <row r="954">
      <c r="F954" s="36"/>
      <c r="G954" s="36"/>
    </row>
    <row r="955">
      <c r="F955" s="36"/>
      <c r="G955" s="36"/>
    </row>
    <row r="956">
      <c r="F956" s="36"/>
      <c r="G956" s="36"/>
    </row>
    <row r="957">
      <c r="F957" s="36"/>
      <c r="G957" s="36"/>
    </row>
    <row r="958">
      <c r="F958" s="36"/>
      <c r="G958" s="36"/>
    </row>
    <row r="959">
      <c r="F959" s="36"/>
      <c r="G959" s="36"/>
    </row>
    <row r="960">
      <c r="F960" s="36"/>
      <c r="G960" s="36"/>
    </row>
    <row r="961">
      <c r="F961" s="36"/>
      <c r="G961" s="36"/>
    </row>
    <row r="962">
      <c r="F962" s="36"/>
      <c r="G962" s="36"/>
    </row>
    <row r="963">
      <c r="F963" s="36"/>
      <c r="G963" s="36"/>
    </row>
    <row r="964">
      <c r="F964" s="36"/>
      <c r="G964" s="36"/>
    </row>
    <row r="965">
      <c r="F965" s="36"/>
      <c r="G965" s="36"/>
    </row>
    <row r="966">
      <c r="F966" s="36"/>
      <c r="G966" s="36"/>
    </row>
    <row r="967">
      <c r="F967" s="36"/>
      <c r="G967" s="36"/>
    </row>
    <row r="968">
      <c r="F968" s="36"/>
      <c r="G968" s="36"/>
    </row>
    <row r="969">
      <c r="F969" s="36"/>
      <c r="G969" s="36"/>
    </row>
    <row r="970">
      <c r="F970" s="36"/>
      <c r="G970" s="36"/>
    </row>
    <row r="971">
      <c r="F971" s="36"/>
      <c r="G971" s="36"/>
    </row>
    <row r="972">
      <c r="F972" s="36"/>
      <c r="G972" s="36"/>
    </row>
    <row r="973">
      <c r="F973" s="36"/>
      <c r="G973" s="36"/>
    </row>
    <row r="974">
      <c r="F974" s="36"/>
      <c r="G974" s="36"/>
    </row>
    <row r="975">
      <c r="F975" s="36"/>
      <c r="G975" s="36"/>
    </row>
    <row r="976">
      <c r="F976" s="36"/>
      <c r="G976" s="36"/>
    </row>
    <row r="977">
      <c r="F977" s="36"/>
      <c r="G977" s="36"/>
    </row>
    <row r="978">
      <c r="F978" s="36"/>
      <c r="G978" s="36"/>
    </row>
    <row r="979">
      <c r="F979" s="36"/>
      <c r="G979" s="36"/>
    </row>
    <row r="980">
      <c r="F980" s="36"/>
      <c r="G980" s="36"/>
    </row>
    <row r="981">
      <c r="F981" s="36"/>
      <c r="G981" s="36"/>
    </row>
    <row r="982">
      <c r="F982" s="36"/>
      <c r="G982" s="36"/>
    </row>
    <row r="983">
      <c r="F983" s="36"/>
      <c r="G983" s="36"/>
    </row>
    <row r="984">
      <c r="F984" s="36"/>
      <c r="G984" s="36"/>
    </row>
    <row r="985">
      <c r="F985" s="36"/>
      <c r="G985" s="36"/>
    </row>
    <row r="986">
      <c r="F986" s="36"/>
      <c r="G986" s="36"/>
    </row>
    <row r="987">
      <c r="F987" s="36"/>
      <c r="G987" s="36"/>
    </row>
    <row r="988">
      <c r="F988" s="36"/>
      <c r="G988" s="36"/>
    </row>
    <row r="989">
      <c r="F989" s="36"/>
      <c r="G989" s="36"/>
    </row>
    <row r="990">
      <c r="F990" s="36"/>
      <c r="G990" s="36"/>
    </row>
    <row r="991">
      <c r="F991" s="36"/>
      <c r="G991" s="36"/>
    </row>
    <row r="992">
      <c r="F992" s="36"/>
      <c r="G992" s="36"/>
    </row>
    <row r="993">
      <c r="F993" s="36"/>
      <c r="G993" s="36"/>
    </row>
    <row r="994">
      <c r="F994" s="36"/>
      <c r="G994" s="36"/>
    </row>
    <row r="995">
      <c r="F995" s="36"/>
      <c r="G995" s="36"/>
    </row>
    <row r="996">
      <c r="F996" s="36"/>
      <c r="G996" s="36"/>
    </row>
    <row r="997">
      <c r="F997" s="36"/>
      <c r="G997" s="36"/>
    </row>
    <row r="998">
      <c r="F998" s="36"/>
      <c r="G998" s="36"/>
    </row>
    <row r="999">
      <c r="F999" s="36"/>
      <c r="G999" s="36"/>
    </row>
    <row r="1000">
      <c r="F1000" s="36"/>
      <c r="G1000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0.63"/>
    <col customWidth="1" min="5" max="5" width="22.13"/>
  </cols>
  <sheetData>
    <row r="1">
      <c r="A1" s="15" t="s">
        <v>150</v>
      </c>
      <c r="B1" s="15" t="s">
        <v>2</v>
      </c>
      <c r="C1" s="15" t="s">
        <v>152</v>
      </c>
      <c r="D1" s="15" t="s">
        <v>4</v>
      </c>
      <c r="E1" s="1" t="s">
        <v>154</v>
      </c>
    </row>
    <row r="2">
      <c r="A2" s="4">
        <v>2.0</v>
      </c>
      <c r="B2" s="4" t="s">
        <v>130</v>
      </c>
      <c r="C2" s="27" t="s">
        <v>136</v>
      </c>
      <c r="D2" s="4">
        <v>14.0</v>
      </c>
      <c r="E2" s="28" t="str">
        <f>VLOOKUP(C2,Insumos!$A$2:$C$67,2)</f>
        <v>JAMON</v>
      </c>
    </row>
    <row r="3">
      <c r="A3" s="4">
        <v>2.0</v>
      </c>
      <c r="B3" s="4" t="s">
        <v>130</v>
      </c>
      <c r="C3" s="27" t="s">
        <v>139</v>
      </c>
      <c r="D3" s="4">
        <v>80.0</v>
      </c>
      <c r="E3" s="28" t="str">
        <f>VLOOKUP(C3,Insumos!$A$2:$C$67,2)</f>
        <v>QUESO PIZZA</v>
      </c>
    </row>
    <row r="4">
      <c r="A4" s="4">
        <v>2.0</v>
      </c>
      <c r="B4" s="4" t="s">
        <v>130</v>
      </c>
      <c r="C4" s="27" t="s">
        <v>142</v>
      </c>
      <c r="D4" s="4">
        <v>1.0</v>
      </c>
      <c r="E4" s="28" t="str">
        <f>VLOOKUP(C4,Insumos!$A$2:$C$67,2)</f>
        <v>MASAS HECHAS</v>
      </c>
    </row>
    <row r="5">
      <c r="A5" s="4">
        <v>3.0</v>
      </c>
      <c r="B5" s="31" t="s">
        <v>138</v>
      </c>
      <c r="C5" s="27" t="s">
        <v>136</v>
      </c>
      <c r="D5" s="4">
        <v>14.0</v>
      </c>
      <c r="E5" s="28" t="str">
        <f>VLOOKUP(C5,Insumos!$A$2:$C$67,2)</f>
        <v>JAMON</v>
      </c>
    </row>
    <row r="6">
      <c r="A6" s="4">
        <v>3.0</v>
      </c>
      <c r="B6" s="31" t="s">
        <v>138</v>
      </c>
      <c r="C6" s="27" t="s">
        <v>139</v>
      </c>
      <c r="D6" s="4">
        <v>80.0</v>
      </c>
      <c r="E6" s="28" t="str">
        <f>VLOOKUP(C6,Insumos!$A$2:$C$67,2)</f>
        <v>QUESO PIZZA</v>
      </c>
    </row>
    <row r="7">
      <c r="A7" s="4">
        <v>3.0</v>
      </c>
      <c r="B7" s="31" t="s">
        <v>138</v>
      </c>
      <c r="C7" s="27" t="s">
        <v>142</v>
      </c>
      <c r="D7" s="4">
        <v>1.0</v>
      </c>
      <c r="E7" s="28" t="str">
        <f>VLOOKUP(C7,Insumos!$A$2:$C$67,2)</f>
        <v>MASAS HECHAS</v>
      </c>
    </row>
    <row r="8">
      <c r="A8" s="4">
        <v>3.0</v>
      </c>
      <c r="B8" s="31" t="s">
        <v>138</v>
      </c>
      <c r="C8" s="27" t="s">
        <v>156</v>
      </c>
      <c r="D8" s="4">
        <v>40.0</v>
      </c>
      <c r="E8" s="28" t="str">
        <f>VLOOKUP(C8,Insumos!$A$2:$C$67,2)</f>
        <v>POLLO PIZZA</v>
      </c>
    </row>
    <row r="9">
      <c r="A9" s="4">
        <v>3.0</v>
      </c>
      <c r="B9" s="31" t="s">
        <v>138</v>
      </c>
      <c r="C9" s="27" t="s">
        <v>165</v>
      </c>
      <c r="D9" s="4">
        <v>31.0</v>
      </c>
      <c r="E9" s="4" t="s">
        <v>28</v>
      </c>
    </row>
    <row r="10">
      <c r="A10" s="4">
        <v>4.0</v>
      </c>
      <c r="B10" s="31" t="s">
        <v>141</v>
      </c>
      <c r="C10" s="27" t="s">
        <v>136</v>
      </c>
      <c r="D10" s="4">
        <v>28.0</v>
      </c>
      <c r="E10" s="28" t="str">
        <f>VLOOKUP(C10,Insumos!$A$2:$C$67,2)</f>
        <v>JAMON</v>
      </c>
    </row>
    <row r="11">
      <c r="A11" s="4">
        <v>4.0</v>
      </c>
      <c r="B11" s="31" t="s">
        <v>141</v>
      </c>
      <c r="C11" s="27" t="s">
        <v>139</v>
      </c>
      <c r="D11" s="4">
        <v>80.0</v>
      </c>
      <c r="E11" s="28" t="str">
        <f>VLOOKUP(C11,Insumos!$A$2:$C$67,2)</f>
        <v>QUESO PIZZA</v>
      </c>
    </row>
    <row r="12">
      <c r="A12" s="4">
        <v>4.0</v>
      </c>
      <c r="B12" s="31" t="s">
        <v>141</v>
      </c>
      <c r="C12" s="27" t="s">
        <v>164</v>
      </c>
      <c r="D12" s="4">
        <v>31.0</v>
      </c>
      <c r="E12" s="28" t="str">
        <f>VLOOKUP(C12,Insumos!$A$2:$C$67,2)</f>
        <v>SALCHICHA IDEAL</v>
      </c>
    </row>
    <row r="13">
      <c r="A13" s="4">
        <v>4.0</v>
      </c>
      <c r="B13" s="31" t="s">
        <v>141</v>
      </c>
      <c r="C13" s="27" t="s">
        <v>156</v>
      </c>
      <c r="D13" s="4">
        <v>40.0</v>
      </c>
      <c r="E13" s="28" t="str">
        <f>VLOOKUP(C13,Insumos!$A$2:$C$67,2)</f>
        <v>POLLO PIZZA</v>
      </c>
    </row>
    <row r="14">
      <c r="A14" s="4">
        <v>4.0</v>
      </c>
      <c r="B14" s="31" t="s">
        <v>141</v>
      </c>
      <c r="C14" s="27" t="s">
        <v>142</v>
      </c>
      <c r="D14" s="4">
        <v>1.0</v>
      </c>
      <c r="E14" s="28" t="str">
        <f>VLOOKUP(C14,Insumos!$A$2:$C$67,2)</f>
        <v>MASAS HECHAS</v>
      </c>
    </row>
    <row r="15">
      <c r="A15" s="4">
        <v>5.0</v>
      </c>
      <c r="B15" s="31" t="s">
        <v>144</v>
      </c>
      <c r="C15" s="27" t="s">
        <v>139</v>
      </c>
      <c r="D15" s="4">
        <v>80.0</v>
      </c>
      <c r="E15" s="28" t="str">
        <f>VLOOKUP(C15,Insumos!$A$2:$C$67,2)</f>
        <v>QUESO PIZZA</v>
      </c>
    </row>
    <row r="16">
      <c r="A16" s="4">
        <v>5.0</v>
      </c>
      <c r="B16" s="31" t="s">
        <v>144</v>
      </c>
      <c r="C16" s="27" t="s">
        <v>169</v>
      </c>
      <c r="D16" s="4">
        <v>63.0</v>
      </c>
      <c r="E16" s="28" t="str">
        <f>VLOOKUP(C16,Insumos!$A$2:$C$67,2)</f>
        <v>CARNE PIZZA</v>
      </c>
    </row>
    <row r="17">
      <c r="A17" s="4">
        <v>5.0</v>
      </c>
      <c r="B17" s="31" t="s">
        <v>144</v>
      </c>
      <c r="C17" s="27" t="s">
        <v>171</v>
      </c>
      <c r="D17" s="4">
        <v>0.25</v>
      </c>
      <c r="E17" s="28" t="str">
        <f>VLOOKUP(C17,Insumos!$A$2:$C$67,2)</f>
        <v>CHISS TREES</v>
      </c>
    </row>
    <row r="18">
      <c r="A18" s="4">
        <v>5.0</v>
      </c>
      <c r="B18" s="31" t="s">
        <v>144</v>
      </c>
      <c r="C18" s="27" t="s">
        <v>142</v>
      </c>
      <c r="D18" s="4">
        <v>1.0</v>
      </c>
      <c r="E18" s="28" t="str">
        <f>VLOOKUP(C18,Insumos!$A$2:$C$67,2)</f>
        <v>MASAS HECHAS</v>
      </c>
    </row>
    <row r="19">
      <c r="A19" s="4">
        <v>6.0</v>
      </c>
      <c r="B19" s="31" t="s">
        <v>146</v>
      </c>
      <c r="C19" s="27" t="s">
        <v>136</v>
      </c>
      <c r="D19" s="4">
        <v>14.0</v>
      </c>
      <c r="E19" s="28" t="str">
        <f>VLOOKUP(C19,Insumos!$A$2:$C$67,2)</f>
        <v>JAMON</v>
      </c>
    </row>
    <row r="20">
      <c r="A20" s="4">
        <v>6.0</v>
      </c>
      <c r="B20" s="31" t="s">
        <v>146</v>
      </c>
      <c r="C20" s="27" t="s">
        <v>139</v>
      </c>
      <c r="D20" s="4">
        <v>80.0</v>
      </c>
      <c r="E20" s="28" t="str">
        <f>VLOOKUP(C20,Insumos!$A$2:$C$67,2)</f>
        <v>QUESO PIZZA</v>
      </c>
    </row>
    <row r="21">
      <c r="A21" s="4">
        <v>6.0</v>
      </c>
      <c r="B21" s="31" t="s">
        <v>146</v>
      </c>
      <c r="C21" s="27" t="s">
        <v>173</v>
      </c>
      <c r="D21" s="4">
        <v>31.0</v>
      </c>
      <c r="E21" s="28" t="str">
        <f>VLOOKUP(C21,Insumos!$A$2:$C$67,2)</f>
        <v>MAZORCA</v>
      </c>
    </row>
    <row r="22">
      <c r="A22" s="4">
        <v>6.0</v>
      </c>
      <c r="B22" s="31" t="s">
        <v>146</v>
      </c>
      <c r="C22" s="27" t="s">
        <v>175</v>
      </c>
      <c r="D22" s="4">
        <v>31.0</v>
      </c>
      <c r="E22" s="28" t="str">
        <f>VLOOKUP(C22,Insumos!$A$2:$C$67,2)</f>
        <v>SALCHICHA RANCHERA</v>
      </c>
    </row>
    <row r="23">
      <c r="A23" s="4">
        <v>6.0</v>
      </c>
      <c r="B23" s="31" t="s">
        <v>146</v>
      </c>
      <c r="C23" s="27" t="s">
        <v>142</v>
      </c>
      <c r="D23" s="4">
        <v>1.0</v>
      </c>
      <c r="E23" s="28" t="str">
        <f>VLOOKUP(C23,Insumos!$A$2:$C$67,2)</f>
        <v>MASAS HECHAS</v>
      </c>
    </row>
    <row r="24">
      <c r="A24" s="4">
        <v>7.0</v>
      </c>
      <c r="B24" s="31" t="s">
        <v>148</v>
      </c>
      <c r="C24" s="27" t="s">
        <v>136</v>
      </c>
      <c r="D24" s="4">
        <v>14.0</v>
      </c>
      <c r="E24" s="28" t="str">
        <f>VLOOKUP(C24,Insumos!$A$2:$C$67,2)</f>
        <v>JAMON</v>
      </c>
    </row>
    <row r="25">
      <c r="A25" s="4">
        <v>7.0</v>
      </c>
      <c r="B25" s="31" t="s">
        <v>148</v>
      </c>
      <c r="C25" s="27" t="s">
        <v>139</v>
      </c>
      <c r="D25" s="4">
        <v>80.0</v>
      </c>
      <c r="E25" s="28" t="str">
        <f>VLOOKUP(C25,Insumos!$A$2:$C$67,2)</f>
        <v>QUESO PIZZA</v>
      </c>
    </row>
    <row r="26">
      <c r="A26" s="4">
        <v>7.0</v>
      </c>
      <c r="B26" s="31" t="s">
        <v>148</v>
      </c>
      <c r="C26" s="27" t="s">
        <v>164</v>
      </c>
      <c r="D26" s="4">
        <v>31.0</v>
      </c>
      <c r="E26" s="28" t="str">
        <f>VLOOKUP(C26,Insumos!$A$2:$C$67,2)</f>
        <v>SALCHICHA IDEAL</v>
      </c>
    </row>
    <row r="27">
      <c r="A27" s="4">
        <v>7.0</v>
      </c>
      <c r="B27" s="31" t="s">
        <v>148</v>
      </c>
      <c r="C27" s="27" t="s">
        <v>142</v>
      </c>
      <c r="D27" s="4">
        <v>1.0</v>
      </c>
      <c r="E27" s="28" t="str">
        <f>VLOOKUP(C27,Insumos!$A$2:$C$67,2)</f>
        <v>MASAS HECHAS</v>
      </c>
    </row>
    <row r="28">
      <c r="A28" s="4">
        <v>7.0</v>
      </c>
      <c r="B28" s="31" t="s">
        <v>148</v>
      </c>
      <c r="C28" s="27" t="s">
        <v>178</v>
      </c>
      <c r="D28" s="4">
        <v>35.0</v>
      </c>
      <c r="E28" s="28" t="str">
        <f>VLOOKUP(C28,Insumos!$A$2:$C$67,2)</f>
        <v>PAPA RIPIO</v>
      </c>
    </row>
    <row r="29">
      <c r="A29" s="4">
        <v>8.0</v>
      </c>
      <c r="B29" s="31" t="s">
        <v>149</v>
      </c>
      <c r="C29" s="27" t="s">
        <v>136</v>
      </c>
      <c r="D29" s="4">
        <v>14.0</v>
      </c>
      <c r="E29" s="28" t="str">
        <f>VLOOKUP(C29,Insumos!$A$2:$C$67,2)</f>
        <v>JAMON</v>
      </c>
    </row>
    <row r="30">
      <c r="A30" s="4">
        <v>8.0</v>
      </c>
      <c r="B30" s="31" t="s">
        <v>149</v>
      </c>
      <c r="C30" s="27" t="s">
        <v>139</v>
      </c>
      <c r="D30" s="4">
        <v>80.0</v>
      </c>
      <c r="E30" s="28" t="str">
        <f>VLOOKUP(C30,Insumos!$A$2:$C$67,2)</f>
        <v>QUESO PIZZA</v>
      </c>
    </row>
    <row r="31">
      <c r="A31" s="4">
        <v>8.0</v>
      </c>
      <c r="B31" s="31" t="s">
        <v>149</v>
      </c>
      <c r="C31" s="27" t="s">
        <v>142</v>
      </c>
      <c r="D31" s="4">
        <v>1.0</v>
      </c>
      <c r="E31" s="28" t="str">
        <f>VLOOKUP(C31,Insumos!$A$2:$C$67,2)</f>
        <v>MASAS HECHAS</v>
      </c>
    </row>
    <row r="32">
      <c r="A32" s="4">
        <v>8.0</v>
      </c>
      <c r="B32" s="31" t="s">
        <v>149</v>
      </c>
      <c r="C32" s="27" t="s">
        <v>173</v>
      </c>
      <c r="D32" s="4">
        <v>20.0</v>
      </c>
      <c r="E32" s="28" t="str">
        <f>VLOOKUP(C32,Insumos!$A$2:$C$67,2)</f>
        <v>MAZORCA</v>
      </c>
    </row>
    <row r="33">
      <c r="A33" s="4">
        <v>8.0</v>
      </c>
      <c r="B33" s="31" t="s">
        <v>149</v>
      </c>
      <c r="C33" s="27" t="s">
        <v>182</v>
      </c>
      <c r="D33" s="4">
        <v>20.0</v>
      </c>
      <c r="E33" s="28" t="str">
        <f>VLOOKUP(C33,Insumos!$A$2:$C$67,2)</f>
        <v>SALCHICHON</v>
      </c>
    </row>
    <row r="34">
      <c r="A34" s="4">
        <v>9.0</v>
      </c>
      <c r="B34" s="31" t="s">
        <v>158</v>
      </c>
      <c r="C34" s="27" t="s">
        <v>136</v>
      </c>
      <c r="D34" s="4">
        <v>14.0</v>
      </c>
      <c r="E34" s="28" t="str">
        <f>VLOOKUP(C34,Insumos!$A$2:$C$67,2)</f>
        <v>JAMON</v>
      </c>
    </row>
    <row r="35">
      <c r="A35" s="4">
        <v>9.0</v>
      </c>
      <c r="B35" s="31" t="s">
        <v>158</v>
      </c>
      <c r="C35" s="27" t="s">
        <v>139</v>
      </c>
      <c r="D35" s="4">
        <v>80.0</v>
      </c>
      <c r="E35" s="28" t="str">
        <f>VLOOKUP(C35,Insumos!$A$2:$C$67,2)</f>
        <v>QUESO PIZZA</v>
      </c>
    </row>
    <row r="36">
      <c r="A36" s="4">
        <v>9.0</v>
      </c>
      <c r="B36" s="31" t="s">
        <v>158</v>
      </c>
      <c r="C36" s="27" t="s">
        <v>142</v>
      </c>
      <c r="D36" s="4">
        <v>1.0</v>
      </c>
      <c r="E36" s="28" t="str">
        <f>VLOOKUP(C36,Insumos!$A$2:$C$67,2)</f>
        <v>MASAS HECHAS</v>
      </c>
    </row>
    <row r="37">
      <c r="A37" s="4">
        <v>9.0</v>
      </c>
      <c r="B37" s="31" t="s">
        <v>158</v>
      </c>
      <c r="C37" s="27" t="s">
        <v>184</v>
      </c>
      <c r="D37" s="4">
        <v>50.0</v>
      </c>
      <c r="E37" s="28" t="str">
        <f>VLOOKUP(C37,Insumos!$A$2:$C$67,2)</f>
        <v>DESMECHADA</v>
      </c>
    </row>
    <row r="38">
      <c r="A38" s="4">
        <v>10.0</v>
      </c>
      <c r="B38" s="31" t="s">
        <v>162</v>
      </c>
      <c r="C38" s="27" t="s">
        <v>136</v>
      </c>
      <c r="D38" s="4">
        <v>14.0</v>
      </c>
      <c r="E38" s="28" t="str">
        <f>VLOOKUP(C38,Insumos!$A$2:$C$67,2)</f>
        <v>JAMON</v>
      </c>
    </row>
    <row r="39">
      <c r="A39" s="4">
        <v>10.0</v>
      </c>
      <c r="B39" s="31" t="s">
        <v>162</v>
      </c>
      <c r="C39" s="27" t="s">
        <v>139</v>
      </c>
      <c r="D39" s="4">
        <v>80.0</v>
      </c>
      <c r="E39" s="28" t="str">
        <f>VLOOKUP(C39,Insumos!$A$2:$C$67,2)</f>
        <v>QUESO PIZZA</v>
      </c>
    </row>
    <row r="40">
      <c r="A40" s="4">
        <v>10.0</v>
      </c>
      <c r="B40" s="31" t="s">
        <v>162</v>
      </c>
      <c r="C40" s="27" t="s">
        <v>142</v>
      </c>
      <c r="D40" s="4">
        <v>1.0</v>
      </c>
      <c r="E40" s="28" t="str">
        <f>VLOOKUP(C40,Insumos!$A$2:$C$67,2)</f>
        <v>MASAS HECHAS</v>
      </c>
    </row>
    <row r="41">
      <c r="A41" s="4">
        <v>10.0</v>
      </c>
      <c r="B41" s="31" t="s">
        <v>162</v>
      </c>
      <c r="C41" s="27" t="s">
        <v>185</v>
      </c>
      <c r="D41" s="4">
        <v>30.0</v>
      </c>
      <c r="E41" s="28" t="str">
        <f>VLOOKUP(C41,Insumos!$A$2:$C$67,2)</f>
        <v>PEPEREONY</v>
      </c>
    </row>
    <row r="42">
      <c r="A42" s="4">
        <v>11.0</v>
      </c>
      <c r="B42" s="4" t="s">
        <v>163</v>
      </c>
      <c r="C42" s="27" t="s">
        <v>187</v>
      </c>
      <c r="D42" s="4">
        <v>1.0</v>
      </c>
      <c r="E42" s="28" t="str">
        <f>VLOOKUP(C42,Insumos!$A$2:$C$67,2)</f>
        <v>PAN HAMBURGUESA</v>
      </c>
    </row>
    <row r="43">
      <c r="A43" s="4">
        <v>11.0</v>
      </c>
      <c r="B43" s="4" t="s">
        <v>163</v>
      </c>
      <c r="C43" s="27" t="s">
        <v>188</v>
      </c>
      <c r="D43" s="4">
        <v>1.0</v>
      </c>
      <c r="E43" s="28" t="str">
        <f>VLOOKUP(C43,Insumos!$A$2:$C$67,2)</f>
        <v>CARNE HAMBURGUESA</v>
      </c>
    </row>
    <row r="44">
      <c r="A44" s="4">
        <v>11.0</v>
      </c>
      <c r="B44" s="4" t="s">
        <v>163</v>
      </c>
      <c r="C44" s="27" t="s">
        <v>189</v>
      </c>
      <c r="D44" s="4">
        <v>25.0</v>
      </c>
      <c r="E44" s="28" t="str">
        <f>VLOOKUP(C44,Insumos!$A$2:$C$67,2)</f>
        <v>QUESO TAJADO</v>
      </c>
    </row>
    <row r="45">
      <c r="A45" s="4">
        <v>11.0</v>
      </c>
      <c r="B45" s="4" t="s">
        <v>163</v>
      </c>
      <c r="C45" s="27" t="s">
        <v>190</v>
      </c>
      <c r="D45" s="4">
        <v>30.0</v>
      </c>
      <c r="E45" s="28" t="str">
        <f>VLOOKUP(C45,Insumos!$A$2:$C$67,2)</f>
        <v>TOCINETA</v>
      </c>
    </row>
    <row r="46">
      <c r="A46" s="4">
        <v>12.0</v>
      </c>
      <c r="B46" s="31" t="s">
        <v>166</v>
      </c>
      <c r="C46" s="27" t="s">
        <v>187</v>
      </c>
      <c r="D46" s="4">
        <v>1.0</v>
      </c>
      <c r="E46" s="28" t="str">
        <f>VLOOKUP(C46,Insumos!$A$2:$C$67,2)</f>
        <v>PAN HAMBURGUESA</v>
      </c>
    </row>
    <row r="47">
      <c r="A47" s="4">
        <v>12.0</v>
      </c>
      <c r="B47" s="31" t="s">
        <v>166</v>
      </c>
      <c r="C47" s="27" t="s">
        <v>191</v>
      </c>
      <c r="D47" s="4">
        <v>1.0</v>
      </c>
      <c r="E47" s="28" t="str">
        <f>VLOOKUP(C47,Insumos!$A$2:$C$67,2)</f>
        <v>POLLO HAMBURGUESA</v>
      </c>
    </row>
    <row r="48">
      <c r="A48" s="4">
        <v>12.0</v>
      </c>
      <c r="B48" s="31" t="s">
        <v>166</v>
      </c>
      <c r="C48" s="27" t="s">
        <v>189</v>
      </c>
      <c r="D48" s="4">
        <v>25.0</v>
      </c>
      <c r="E48" s="28" t="str">
        <f>VLOOKUP(C48,Insumos!$A$2:$C$67,2)</f>
        <v>QUESO TAJADO</v>
      </c>
    </row>
    <row r="49">
      <c r="A49" s="4">
        <v>12.0</v>
      </c>
      <c r="B49" s="31" t="s">
        <v>166</v>
      </c>
      <c r="C49" s="27" t="s">
        <v>190</v>
      </c>
      <c r="D49" s="4">
        <v>30.0</v>
      </c>
      <c r="E49" s="28" t="str">
        <f>VLOOKUP(C49,Insumos!$A$2:$C$67,2)</f>
        <v>TOCINETA</v>
      </c>
    </row>
    <row r="50">
      <c r="A50" s="4">
        <v>13.0</v>
      </c>
      <c r="B50" s="31" t="s">
        <v>167</v>
      </c>
      <c r="C50" s="27" t="s">
        <v>187</v>
      </c>
      <c r="D50" s="4">
        <v>1.0</v>
      </c>
      <c r="E50" s="28" t="str">
        <f>VLOOKUP(C50,Insumos!$A$2:$C$67,2)</f>
        <v>PAN HAMBURGUESA</v>
      </c>
    </row>
    <row r="51">
      <c r="A51" s="4">
        <v>13.0</v>
      </c>
      <c r="B51" s="31" t="s">
        <v>167</v>
      </c>
      <c r="C51" s="27" t="s">
        <v>188</v>
      </c>
      <c r="D51" s="4">
        <v>2.0</v>
      </c>
      <c r="E51" s="28" t="str">
        <f>VLOOKUP(C51,Insumos!$A$2:$C$67,2)</f>
        <v>CARNE HAMBURGUESA</v>
      </c>
    </row>
    <row r="52">
      <c r="A52" s="4">
        <v>13.0</v>
      </c>
      <c r="B52" s="31" t="s">
        <v>167</v>
      </c>
      <c r="C52" s="27" t="s">
        <v>189</v>
      </c>
      <c r="D52" s="4">
        <v>50.0</v>
      </c>
      <c r="E52" s="28" t="str">
        <f>VLOOKUP(C52,Insumos!$A$2:$C$67,2)</f>
        <v>QUESO TAJADO</v>
      </c>
    </row>
    <row r="53">
      <c r="A53" s="4">
        <v>13.0</v>
      </c>
      <c r="B53" s="31" t="s">
        <v>167</v>
      </c>
      <c r="C53" s="27" t="s">
        <v>190</v>
      </c>
      <c r="D53" s="4">
        <v>60.0</v>
      </c>
      <c r="E53" s="28" t="str">
        <f>VLOOKUP(C53,Insumos!$A$2:$C$67,2)</f>
        <v>TOCINETA</v>
      </c>
    </row>
    <row r="54">
      <c r="A54" s="4">
        <v>14.0</v>
      </c>
      <c r="B54" s="31" t="s">
        <v>168</v>
      </c>
      <c r="C54" s="27" t="s">
        <v>187</v>
      </c>
      <c r="D54" s="4">
        <v>1.0</v>
      </c>
      <c r="E54" s="28" t="str">
        <f>VLOOKUP(C54,Insumos!$A$2:$C$67,2)</f>
        <v>PAN HAMBURGUESA</v>
      </c>
    </row>
    <row r="55">
      <c r="A55" s="4">
        <v>14.0</v>
      </c>
      <c r="B55" s="31" t="s">
        <v>168</v>
      </c>
      <c r="C55" s="27" t="s">
        <v>188</v>
      </c>
      <c r="D55" s="4">
        <v>1.0</v>
      </c>
      <c r="E55" s="28" t="str">
        <f>VLOOKUP(C55,Insumos!$A$2:$C$67,2)</f>
        <v>CARNE HAMBURGUESA</v>
      </c>
    </row>
    <row r="56">
      <c r="A56" s="4">
        <v>14.0</v>
      </c>
      <c r="B56" s="31" t="s">
        <v>168</v>
      </c>
      <c r="C56" s="27" t="s">
        <v>189</v>
      </c>
      <c r="D56" s="4">
        <v>50.0</v>
      </c>
      <c r="E56" s="28" t="str">
        <f>VLOOKUP(C56,Insumos!$A$2:$C$67,2)</f>
        <v>QUESO TAJADO</v>
      </c>
    </row>
    <row r="57">
      <c r="A57" s="4">
        <v>14.0</v>
      </c>
      <c r="B57" s="31" t="s">
        <v>168</v>
      </c>
      <c r="C57" s="27" t="s">
        <v>190</v>
      </c>
      <c r="D57" s="4">
        <v>60.0</v>
      </c>
      <c r="E57" s="28" t="str">
        <f>VLOOKUP(C57,Insumos!$A$2:$C$67,2)</f>
        <v>TOCINETA</v>
      </c>
    </row>
    <row r="58">
      <c r="A58" s="4">
        <v>14.0</v>
      </c>
      <c r="B58" s="31" t="s">
        <v>168</v>
      </c>
      <c r="C58" s="27" t="s">
        <v>191</v>
      </c>
      <c r="D58" s="4">
        <v>1.0</v>
      </c>
      <c r="E58" s="28" t="str">
        <f>VLOOKUP(C58,Insumos!$A$2:$C$67,2)</f>
        <v>POLLO HAMBURGUESA</v>
      </c>
    </row>
    <row r="59">
      <c r="A59" s="4">
        <v>15.0</v>
      </c>
      <c r="B59" s="31" t="s">
        <v>170</v>
      </c>
      <c r="C59" s="27" t="s">
        <v>193</v>
      </c>
      <c r="D59" s="4">
        <v>1.0</v>
      </c>
      <c r="E59" s="28" t="str">
        <f>VLOOKUP(C59,Insumos!$A$2:$C$67,2)</f>
        <v>PAN PERRO</v>
      </c>
    </row>
    <row r="60">
      <c r="A60" s="4">
        <v>15.0</v>
      </c>
      <c r="B60" s="31" t="s">
        <v>170</v>
      </c>
      <c r="C60" s="27" t="s">
        <v>194</v>
      </c>
      <c r="D60" s="4">
        <v>1.0</v>
      </c>
      <c r="E60" s="28" t="str">
        <f>VLOOKUP(C60,Insumos!$A$2:$C$67,2)</f>
        <v>SALCHICHA AMERICANA</v>
      </c>
    </row>
    <row r="61">
      <c r="A61" s="4">
        <v>15.0</v>
      </c>
      <c r="B61" s="31" t="s">
        <v>170</v>
      </c>
      <c r="C61" s="27" t="s">
        <v>136</v>
      </c>
      <c r="D61" s="4">
        <v>25.0</v>
      </c>
      <c r="E61" s="28" t="str">
        <f>VLOOKUP(C61,Insumos!$A$2:$C$67,2)</f>
        <v>JAMON</v>
      </c>
    </row>
    <row r="62">
      <c r="A62" s="4">
        <v>15.0</v>
      </c>
      <c r="B62" s="31" t="s">
        <v>170</v>
      </c>
      <c r="C62" s="27" t="s">
        <v>189</v>
      </c>
      <c r="D62" s="4">
        <v>25.0</v>
      </c>
      <c r="E62" s="28" t="str">
        <f>VLOOKUP(C62,Insumos!$A$2:$C$67,2)</f>
        <v>QUESO TAJADO</v>
      </c>
    </row>
    <row r="63">
      <c r="A63" s="4">
        <v>16.0</v>
      </c>
      <c r="B63" s="31" t="s">
        <v>172</v>
      </c>
      <c r="C63" s="27" t="s">
        <v>193</v>
      </c>
      <c r="D63" s="4">
        <v>1.0</v>
      </c>
      <c r="E63" s="28" t="str">
        <f>VLOOKUP(C63,Insumos!$A$2:$C$67,2)</f>
        <v>PAN PERRO</v>
      </c>
    </row>
    <row r="64">
      <c r="A64" s="4">
        <v>16.0</v>
      </c>
      <c r="B64" s="31" t="s">
        <v>172</v>
      </c>
      <c r="C64" s="27" t="s">
        <v>196</v>
      </c>
      <c r="D64" s="4">
        <v>1.0</v>
      </c>
      <c r="E64" s="28" t="str">
        <f>VLOOKUP(C64,Insumos!$A$2:$C$67,2)</f>
        <v>SALCHICHA SUIZA</v>
      </c>
    </row>
    <row r="65">
      <c r="A65" s="4">
        <v>16.0</v>
      </c>
      <c r="B65" s="31" t="s">
        <v>172</v>
      </c>
      <c r="C65" s="27" t="s">
        <v>136</v>
      </c>
      <c r="D65" s="4">
        <v>50.0</v>
      </c>
      <c r="E65" s="28" t="str">
        <f>VLOOKUP(C65,Insumos!$A$2:$C$67,2)</f>
        <v>JAMON</v>
      </c>
    </row>
    <row r="66">
      <c r="A66" s="4">
        <v>16.0</v>
      </c>
      <c r="B66" s="31" t="s">
        <v>172</v>
      </c>
      <c r="C66" s="27" t="s">
        <v>189</v>
      </c>
      <c r="D66" s="4">
        <v>25.0</v>
      </c>
      <c r="E66" s="28" t="str">
        <f>VLOOKUP(C66,Insumos!$A$2:$C$67,2)</f>
        <v>QUESO TAJADO</v>
      </c>
    </row>
    <row r="67">
      <c r="A67" s="4">
        <v>16.0</v>
      </c>
      <c r="B67" s="31" t="s">
        <v>172</v>
      </c>
      <c r="C67" s="27" t="s">
        <v>173</v>
      </c>
      <c r="D67" s="4">
        <v>50.0</v>
      </c>
      <c r="E67" s="28" t="str">
        <f>VLOOKUP(C67,Insumos!$A$2:$C$67,2)</f>
        <v>MAZORCA</v>
      </c>
    </row>
    <row r="68">
      <c r="A68" s="4">
        <v>17.0</v>
      </c>
      <c r="B68" s="31" t="s">
        <v>174</v>
      </c>
      <c r="C68" s="27" t="s">
        <v>193</v>
      </c>
      <c r="D68" s="4">
        <v>1.0</v>
      </c>
      <c r="E68" s="28" t="str">
        <f>VLOOKUP(C68,Insumos!$A$2:$C$67,2)</f>
        <v>PAN PERRO</v>
      </c>
    </row>
    <row r="69">
      <c r="A69" s="4">
        <v>17.0</v>
      </c>
      <c r="B69" s="31" t="s">
        <v>174</v>
      </c>
      <c r="C69" s="27" t="s">
        <v>197</v>
      </c>
      <c r="D69" s="4">
        <v>1.0</v>
      </c>
      <c r="E69" s="28" t="str">
        <f>VLOOKUP(C69,Insumos!$A$2:$C$67,2)</f>
        <v>CHORIZOS</v>
      </c>
    </row>
    <row r="70">
      <c r="A70" s="4">
        <v>17.0</v>
      </c>
      <c r="B70" s="31" t="s">
        <v>174</v>
      </c>
      <c r="C70" s="27" t="s">
        <v>190</v>
      </c>
      <c r="D70" s="4">
        <v>30.0</v>
      </c>
      <c r="E70" s="28" t="str">
        <f>VLOOKUP(C70,Insumos!$A$2:$C$67,2)</f>
        <v>TOCINETA</v>
      </c>
    </row>
    <row r="71">
      <c r="A71" s="4">
        <v>17.0</v>
      </c>
      <c r="B71" s="31" t="s">
        <v>174</v>
      </c>
      <c r="C71" s="27" t="s">
        <v>189</v>
      </c>
      <c r="D71" s="4">
        <v>25.0</v>
      </c>
      <c r="E71" s="28" t="str">
        <f>VLOOKUP(C71,Insumos!$A$2:$C$67,2)</f>
        <v>QUESO TAJADO</v>
      </c>
    </row>
    <row r="72">
      <c r="A72" s="4">
        <v>17.0</v>
      </c>
      <c r="B72" s="31" t="s">
        <v>174</v>
      </c>
      <c r="C72" s="27" t="s">
        <v>173</v>
      </c>
      <c r="D72" s="4">
        <v>50.0</v>
      </c>
      <c r="E72" s="28" t="str">
        <f>VLOOKUP(C72,Insumos!$A$2:$C$67,2)</f>
        <v>MAZORCA</v>
      </c>
    </row>
    <row r="73">
      <c r="A73" s="4">
        <v>18.0</v>
      </c>
      <c r="B73" s="31" t="s">
        <v>176</v>
      </c>
      <c r="C73" s="27" t="s">
        <v>198</v>
      </c>
      <c r="D73" s="4">
        <v>300.0</v>
      </c>
      <c r="E73" s="28" t="str">
        <f>VLOOKUP(C73,Insumos!$A$2:$C$67,2)</f>
        <v>PAPA FRANCESA</v>
      </c>
    </row>
    <row r="74">
      <c r="A74" s="4">
        <v>18.0</v>
      </c>
      <c r="B74" s="31" t="s">
        <v>176</v>
      </c>
      <c r="C74" s="27" t="s">
        <v>194</v>
      </c>
      <c r="D74" s="4">
        <v>2.0</v>
      </c>
      <c r="E74" s="28" t="str">
        <f>VLOOKUP(C74,Insumos!$A$2:$C$67,2)</f>
        <v>SALCHICHA AMERICANA</v>
      </c>
    </row>
    <row r="75">
      <c r="A75" s="4">
        <v>18.0</v>
      </c>
      <c r="B75" s="31" t="s">
        <v>176</v>
      </c>
      <c r="C75" s="27" t="s">
        <v>189</v>
      </c>
      <c r="D75" s="4">
        <v>50.0</v>
      </c>
      <c r="E75" s="28" t="str">
        <f>VLOOKUP(C75,Insumos!$A$2:$C$67,2)</f>
        <v>QUESO TAJADO</v>
      </c>
    </row>
    <row r="76">
      <c r="A76" s="4">
        <v>19.0</v>
      </c>
      <c r="B76" s="31" t="s">
        <v>177</v>
      </c>
      <c r="C76" s="27" t="s">
        <v>198</v>
      </c>
      <c r="D76" s="4">
        <v>300.0</v>
      </c>
      <c r="E76" s="28" t="str">
        <f>VLOOKUP(C76,Insumos!$A$2:$C$67,2)</f>
        <v>PAPA FRANCESA</v>
      </c>
    </row>
    <row r="77">
      <c r="A77" s="4">
        <v>19.0</v>
      </c>
      <c r="B77" s="31" t="s">
        <v>177</v>
      </c>
      <c r="C77" s="27" t="s">
        <v>194</v>
      </c>
      <c r="D77" s="4">
        <v>1.0</v>
      </c>
      <c r="E77" s="28" t="str">
        <f>VLOOKUP(C77,Insumos!$A$2:$C$67,2)</f>
        <v>SALCHICHA AMERICANA</v>
      </c>
    </row>
    <row r="78">
      <c r="A78" s="4">
        <v>19.0</v>
      </c>
      <c r="B78" s="31" t="s">
        <v>177</v>
      </c>
      <c r="C78" s="27" t="s">
        <v>189</v>
      </c>
      <c r="D78" s="4">
        <v>50.0</v>
      </c>
      <c r="E78" s="28" t="str">
        <f>VLOOKUP(C78,Insumos!$A$2:$C$67,2)</f>
        <v>QUESO TAJADO</v>
      </c>
    </row>
    <row r="79">
      <c r="A79" s="4">
        <v>19.0</v>
      </c>
      <c r="B79" s="31" t="s">
        <v>177</v>
      </c>
      <c r="C79" s="27" t="s">
        <v>197</v>
      </c>
      <c r="D79" s="4">
        <v>1.0</v>
      </c>
      <c r="E79" s="28" t="str">
        <f>VLOOKUP(C79,Insumos!$A$2:$C$67,2)</f>
        <v>CHORIZOS</v>
      </c>
    </row>
    <row r="80">
      <c r="A80" s="4">
        <v>19.0</v>
      </c>
      <c r="B80" s="31" t="s">
        <v>177</v>
      </c>
      <c r="C80" s="27" t="s">
        <v>136</v>
      </c>
      <c r="D80" s="4">
        <v>38.0</v>
      </c>
      <c r="E80" s="28" t="str">
        <f>VLOOKUP(C80,Insumos!$A$2:$C$67,2)</f>
        <v>JAMON</v>
      </c>
    </row>
    <row r="81">
      <c r="A81" s="4">
        <v>20.0</v>
      </c>
      <c r="B81" s="31" t="s">
        <v>179</v>
      </c>
      <c r="C81" s="27" t="s">
        <v>198</v>
      </c>
      <c r="D81" s="4">
        <v>150.0</v>
      </c>
      <c r="E81" s="28" t="str">
        <f>VLOOKUP(C81,Insumos!$A$2:$C$67,2)</f>
        <v>PAPA FRANCESA</v>
      </c>
    </row>
    <row r="82">
      <c r="A82" s="4">
        <v>20.0</v>
      </c>
      <c r="B82" s="31" t="s">
        <v>179</v>
      </c>
      <c r="C82" s="27" t="s">
        <v>196</v>
      </c>
      <c r="D82" s="4">
        <v>1.0</v>
      </c>
      <c r="E82" s="28" t="str">
        <f>VLOOKUP(C82,Insumos!$A$2:$C$67,2)</f>
        <v>SALCHICHA SUIZA</v>
      </c>
    </row>
    <row r="83">
      <c r="A83" s="4">
        <v>21.0</v>
      </c>
      <c r="B83" s="31" t="s">
        <v>180</v>
      </c>
      <c r="C83" s="27" t="s">
        <v>198</v>
      </c>
      <c r="D83" s="4">
        <v>180.0</v>
      </c>
      <c r="E83" s="28" t="str">
        <f>VLOOKUP(C83,Insumos!$A$2:$C$67,2)</f>
        <v>PAPA FRANCESA</v>
      </c>
    </row>
    <row r="84">
      <c r="A84" s="4">
        <v>22.0</v>
      </c>
      <c r="B84" s="31" t="s">
        <v>181</v>
      </c>
      <c r="C84" s="27" t="s">
        <v>201</v>
      </c>
      <c r="D84" s="4">
        <v>1.0</v>
      </c>
      <c r="E84" s="28" t="str">
        <f>VLOOKUP(C84,Insumos!$A$2:$C$67,2)</f>
        <v>COSTILLITAS</v>
      </c>
    </row>
    <row r="85">
      <c r="A85" s="4">
        <v>22.0</v>
      </c>
      <c r="B85" s="31" t="s">
        <v>181</v>
      </c>
      <c r="C85" s="27" t="s">
        <v>198</v>
      </c>
      <c r="D85" s="4">
        <v>150.0</v>
      </c>
      <c r="E85" s="28" t="str">
        <f>VLOOKUP(C85,Insumos!$A$2:$C$67,2)</f>
        <v>PAPA FRANCESA</v>
      </c>
    </row>
    <row r="86">
      <c r="A86" s="4">
        <v>23.0</v>
      </c>
      <c r="B86" s="31" t="s">
        <v>183</v>
      </c>
      <c r="C86" s="27" t="s">
        <v>202</v>
      </c>
      <c r="D86" s="4">
        <v>1.0</v>
      </c>
      <c r="E86" s="28" t="str">
        <f>VLOOKUP(C86,Insumos!$A$2:$C$67,2)</f>
        <v>CHURRASCOS</v>
      </c>
    </row>
    <row r="87">
      <c r="A87" s="4">
        <v>23.0</v>
      </c>
      <c r="B87" s="31" t="s">
        <v>183</v>
      </c>
      <c r="C87" s="27" t="s">
        <v>198</v>
      </c>
      <c r="D87" s="4">
        <v>150.0</v>
      </c>
      <c r="E87" s="28" t="str">
        <f>VLOOKUP(C87,Insumos!$A$2:$C$67,2)</f>
        <v>PAPA FRANCESA</v>
      </c>
    </row>
    <row r="88">
      <c r="A88" s="4">
        <v>24.0</v>
      </c>
      <c r="B88" s="31" t="s">
        <v>64</v>
      </c>
      <c r="C88" s="27" t="s">
        <v>205</v>
      </c>
      <c r="D88" s="4">
        <v>1.0</v>
      </c>
      <c r="E88" s="28" t="str">
        <f>VLOOKUP(C88,Insumos!$A$2:$C$67,2)</f>
        <v>PECHUGA</v>
      </c>
    </row>
    <row r="89">
      <c r="A89" s="4">
        <v>24.0</v>
      </c>
      <c r="B89" s="31" t="s">
        <v>64</v>
      </c>
      <c r="C89" s="27" t="s">
        <v>198</v>
      </c>
      <c r="D89" s="4">
        <v>150.0</v>
      </c>
      <c r="E89" s="28" t="str">
        <f>VLOOKUP(C89,Insumos!$A$2:$C$67,2)</f>
        <v>PAPA FRANCESA</v>
      </c>
    </row>
    <row r="90">
      <c r="A90" s="4">
        <v>25.0</v>
      </c>
      <c r="B90" s="31" t="s">
        <v>132</v>
      </c>
      <c r="C90" s="27" t="s">
        <v>206</v>
      </c>
      <c r="D90" s="4">
        <v>1.0</v>
      </c>
      <c r="E90" s="28" t="str">
        <f>VLOOKUP(C90,Insumos!$A$2:$C$67,2)</f>
        <v>ELECTROLIT</v>
      </c>
    </row>
    <row r="91">
      <c r="A91" s="4">
        <v>26.0</v>
      </c>
      <c r="B91" s="31" t="s">
        <v>186</v>
      </c>
      <c r="C91" s="27" t="s">
        <v>202</v>
      </c>
      <c r="D91" s="4">
        <v>1.0</v>
      </c>
      <c r="E91" s="28" t="str">
        <f>VLOOKUP(C91,Insumos!$A$2:$C$67,2)</f>
        <v>CHURRASCOS</v>
      </c>
    </row>
    <row r="92">
      <c r="A92" s="4">
        <v>26.0</v>
      </c>
      <c r="B92" s="31" t="s">
        <v>186</v>
      </c>
      <c r="C92" s="27" t="s">
        <v>198</v>
      </c>
      <c r="D92" s="4">
        <v>150.0</v>
      </c>
      <c r="E92" s="28" t="str">
        <f>VLOOKUP(C92,Insumos!$A$2:$C$67,2)</f>
        <v>PAPA FRANCESA</v>
      </c>
    </row>
    <row r="93">
      <c r="A93" s="4">
        <v>27.0</v>
      </c>
      <c r="B93" s="31" t="s">
        <v>106</v>
      </c>
      <c r="C93" s="27" t="s">
        <v>207</v>
      </c>
      <c r="D93" s="4">
        <v>1.0</v>
      </c>
      <c r="E93" s="28" t="str">
        <f>VLOOKUP(C93,Insumos!$A$2:$C$67,2)</f>
        <v>CHORIZO CUNCIA</v>
      </c>
    </row>
    <row r="94">
      <c r="A94" s="39">
        <v>28.0</v>
      </c>
      <c r="B94" s="31" t="s">
        <v>44</v>
      </c>
      <c r="C94" s="27" t="s">
        <v>208</v>
      </c>
      <c r="D94" s="4">
        <v>1.0</v>
      </c>
      <c r="E94" s="28" t="str">
        <f>VLOOKUP(C94,Insumos!$A$2:$C$67,2)</f>
        <v>GASEOSA 350</v>
      </c>
    </row>
    <row r="95">
      <c r="A95" s="39">
        <v>29.0</v>
      </c>
      <c r="B95" s="31" t="s">
        <v>69</v>
      </c>
      <c r="C95" s="27" t="s">
        <v>210</v>
      </c>
      <c r="D95" s="4">
        <v>1.0</v>
      </c>
      <c r="E95" s="28" t="str">
        <f>VLOOKUP(C95,Insumos!$A$2:$C$67,2)</f>
        <v>JUGO HIT 500</v>
      </c>
    </row>
    <row r="96">
      <c r="A96" s="39">
        <v>30.0</v>
      </c>
      <c r="B96" s="31" t="s">
        <v>192</v>
      </c>
      <c r="C96" s="27" t="s">
        <v>194</v>
      </c>
      <c r="D96" s="4">
        <v>2.0</v>
      </c>
      <c r="E96" s="28" t="str">
        <f>VLOOKUP(C96,Insumos!$A$2:$C$67,2)</f>
        <v>SALCHICHA AMERICANA</v>
      </c>
    </row>
    <row r="97">
      <c r="A97" s="39">
        <v>30.0</v>
      </c>
      <c r="B97" s="31" t="s">
        <v>192</v>
      </c>
      <c r="C97" s="27" t="s">
        <v>198</v>
      </c>
      <c r="D97" s="4">
        <v>300.0</v>
      </c>
      <c r="E97" s="28" t="str">
        <f>VLOOKUP(C97,Insumos!$A$2:$C$67,2)</f>
        <v>PAPA FRANCESA</v>
      </c>
    </row>
    <row r="98">
      <c r="A98" s="39">
        <v>30.0</v>
      </c>
      <c r="B98" s="31" t="s">
        <v>192</v>
      </c>
      <c r="C98" s="27" t="s">
        <v>184</v>
      </c>
      <c r="D98" s="4">
        <v>100.0</v>
      </c>
      <c r="E98" s="28" t="str">
        <f>VLOOKUP(C98,Insumos!$A$2:$C$67,2)</f>
        <v>DESMECHADA</v>
      </c>
    </row>
    <row r="99">
      <c r="A99" s="39">
        <v>30.0</v>
      </c>
      <c r="B99" s="31" t="s">
        <v>192</v>
      </c>
      <c r="C99" s="27" t="s">
        <v>173</v>
      </c>
      <c r="D99" s="4">
        <v>60.0</v>
      </c>
      <c r="E99" s="28" t="str">
        <f>VLOOKUP(C99,Insumos!$A$2:$C$67,2)</f>
        <v>MAZORCA</v>
      </c>
    </row>
    <row r="100">
      <c r="A100" s="39">
        <v>30.0</v>
      </c>
      <c r="B100" s="31" t="s">
        <v>192</v>
      </c>
      <c r="C100" s="27" t="s">
        <v>189</v>
      </c>
      <c r="D100" s="4">
        <v>50.0</v>
      </c>
      <c r="E100" s="28" t="str">
        <f>VLOOKUP(C100,Insumos!$A$2:$C$67,2)</f>
        <v>QUESO TAJADO</v>
      </c>
    </row>
    <row r="101">
      <c r="A101" s="39">
        <v>31.0</v>
      </c>
      <c r="B101" s="31" t="s">
        <v>77</v>
      </c>
      <c r="C101" s="27" t="s">
        <v>213</v>
      </c>
      <c r="D101" s="4">
        <v>1.0</v>
      </c>
      <c r="E101" s="28" t="str">
        <f>VLOOKUP(C101,Insumos!$A$2:$C$67,2)</f>
        <v>GASEOSA 500</v>
      </c>
    </row>
    <row r="102">
      <c r="A102" s="39">
        <v>32.0</v>
      </c>
      <c r="B102" s="31" t="s">
        <v>79</v>
      </c>
      <c r="C102" s="27" t="s">
        <v>215</v>
      </c>
      <c r="D102" s="4">
        <v>1.0</v>
      </c>
      <c r="E102" s="28" t="str">
        <f>VLOOKUP(C102,Insumos!$A$2:$C$67,2)</f>
        <v>GASEOSA 1.5</v>
      </c>
    </row>
    <row r="103">
      <c r="A103" s="39">
        <v>33.0</v>
      </c>
      <c r="B103" s="31" t="s">
        <v>195</v>
      </c>
      <c r="C103" s="27" t="s">
        <v>216</v>
      </c>
      <c r="D103" s="4">
        <v>1.0</v>
      </c>
      <c r="E103" s="28" t="str">
        <f>VLOOKUP(C103,Insumos!$A$2:$C$67,2)</f>
        <v>GASEOSA 400</v>
      </c>
    </row>
    <row r="104">
      <c r="A104" s="39">
        <v>34.0</v>
      </c>
      <c r="B104" s="31" t="s">
        <v>88</v>
      </c>
      <c r="C104" s="27" t="s">
        <v>218</v>
      </c>
      <c r="D104" s="4">
        <v>1.0</v>
      </c>
      <c r="E104" s="28" t="str">
        <f>VLOOKUP(C104,Insumos!$A$2:$C$67,2)</f>
        <v>GATORADE</v>
      </c>
    </row>
    <row r="105">
      <c r="A105" s="39">
        <v>35.0</v>
      </c>
      <c r="B105" s="31" t="s">
        <v>90</v>
      </c>
      <c r="C105" s="27" t="s">
        <v>219</v>
      </c>
      <c r="D105" s="4">
        <v>1.0</v>
      </c>
      <c r="E105" s="28" t="str">
        <f>VLOOKUP(C105,Insumos!$A$2:$C$67,2)</f>
        <v>GASEOSA 3.0</v>
      </c>
    </row>
    <row r="106">
      <c r="A106" s="39">
        <v>36.0</v>
      </c>
      <c r="B106" s="31" t="s">
        <v>92</v>
      </c>
      <c r="C106" s="27" t="s">
        <v>220</v>
      </c>
      <c r="D106" s="4">
        <v>1.0</v>
      </c>
      <c r="E106" s="28" t="str">
        <f>VLOOKUP(C106,Insumos!$A$2:$C$67,2)</f>
        <v>TEE</v>
      </c>
    </row>
    <row r="107">
      <c r="A107" s="39">
        <v>37.0</v>
      </c>
      <c r="B107" s="31" t="s">
        <v>93</v>
      </c>
      <c r="C107" s="27" t="s">
        <v>222</v>
      </c>
      <c r="D107" s="4">
        <v>1.0</v>
      </c>
      <c r="E107" s="28" t="str">
        <f>VLOOKUP(C107,Insumos!$A$2:$C$67,2)</f>
        <v>CERVEZA POKER</v>
      </c>
    </row>
    <row r="108">
      <c r="A108" s="39">
        <v>38.0</v>
      </c>
      <c r="B108" s="31" t="s">
        <v>94</v>
      </c>
      <c r="C108" s="27" t="s">
        <v>223</v>
      </c>
      <c r="D108" s="4">
        <v>1.0</v>
      </c>
      <c r="E108" s="28" t="str">
        <f>VLOOKUP(C108,Insumos!$A$2:$C$67,2)</f>
        <v>AGUA CON GAS</v>
      </c>
    </row>
    <row r="109">
      <c r="A109" s="39">
        <v>39.0</v>
      </c>
      <c r="B109" s="31" t="s">
        <v>45</v>
      </c>
      <c r="C109" s="27" t="s">
        <v>225</v>
      </c>
      <c r="D109" s="4">
        <v>1.0</v>
      </c>
      <c r="E109" s="28" t="str">
        <f>VLOOKUP(C109,Insumos!$A$2:$C$67,2)</f>
        <v>AGUA SIN GAS</v>
      </c>
    </row>
    <row r="110">
      <c r="A110" s="39">
        <v>40.0</v>
      </c>
      <c r="B110" s="31" t="s">
        <v>199</v>
      </c>
      <c r="C110" s="27" t="s">
        <v>226</v>
      </c>
      <c r="D110" s="4">
        <v>1.0</v>
      </c>
      <c r="E110" s="28" t="str">
        <f>VLOOKUP(C110,Insumos!$A$2:$C$67,2)</f>
        <v>PATACONA</v>
      </c>
    </row>
    <row r="111">
      <c r="A111" s="39">
        <v>41.0</v>
      </c>
      <c r="B111" s="31" t="s">
        <v>99</v>
      </c>
      <c r="C111" s="27" t="s">
        <v>228</v>
      </c>
      <c r="D111" s="4">
        <v>1.0</v>
      </c>
      <c r="E111" s="28" t="str">
        <f>VLOOKUP(C111,Insumos!$A$2:$C$67,2)</f>
        <v>JUGO HIT 1.5</v>
      </c>
    </row>
    <row r="112">
      <c r="A112" s="39">
        <v>42.0</v>
      </c>
      <c r="B112" s="31" t="s">
        <v>103</v>
      </c>
      <c r="C112" s="27" t="s">
        <v>229</v>
      </c>
      <c r="D112" s="4">
        <v>1.0</v>
      </c>
      <c r="E112" s="28" t="str">
        <f>VLOOKUP(C112,Insumos!$A$2:$C$67,2)</f>
        <v>COLA Y POLA 1,5</v>
      </c>
    </row>
    <row r="113">
      <c r="A113" s="39">
        <v>43.0</v>
      </c>
      <c r="B113" s="31" t="s">
        <v>95</v>
      </c>
      <c r="C113" s="27" t="s">
        <v>230</v>
      </c>
      <c r="D113" s="4">
        <v>1.0</v>
      </c>
      <c r="E113" s="28" t="str">
        <f>VLOOKUP(C113,Insumos!$A$2:$C$67,2)</f>
        <v>CORONA</v>
      </c>
    </row>
    <row r="114">
      <c r="A114" s="39">
        <v>44.0</v>
      </c>
      <c r="B114" s="31" t="s">
        <v>96</v>
      </c>
      <c r="C114" s="27" t="s">
        <v>231</v>
      </c>
      <c r="D114" s="4">
        <v>1.0</v>
      </c>
      <c r="E114" s="28" t="str">
        <f>VLOOKUP(C114,Insumos!$A$2:$C$67,2)</f>
        <v>SPEED</v>
      </c>
    </row>
    <row r="115">
      <c r="A115" s="39">
        <v>45.0</v>
      </c>
      <c r="B115" s="31" t="s">
        <v>203</v>
      </c>
      <c r="C115" s="27" t="s">
        <v>232</v>
      </c>
      <c r="D115" s="4">
        <v>1.0</v>
      </c>
      <c r="E115" s="28" t="str">
        <f>VLOOKUP(C115,Insumos!$A$2:$C$67,2)</f>
        <v>MALTA 1.5</v>
      </c>
    </row>
    <row r="116">
      <c r="A116" s="39">
        <v>46.0</v>
      </c>
      <c r="B116" s="31" t="s">
        <v>97</v>
      </c>
      <c r="C116" s="27" t="s">
        <v>234</v>
      </c>
      <c r="D116" s="4">
        <v>1.0</v>
      </c>
      <c r="E116" s="28" t="str">
        <f>VLOOKUP(C116,Insumos!$A$2:$C$67,2)</f>
        <v>CORONITA</v>
      </c>
    </row>
    <row r="117">
      <c r="A117" s="39">
        <v>47.0</v>
      </c>
      <c r="B117" s="31" t="s">
        <v>98</v>
      </c>
      <c r="C117" s="27" t="s">
        <v>235</v>
      </c>
      <c r="D117" s="4">
        <v>1.0</v>
      </c>
      <c r="E117" s="28" t="str">
        <f>VLOOKUP(C117,Insumos!$A$2:$C$67,2)</f>
        <v>BRETAÑA</v>
      </c>
    </row>
    <row r="118">
      <c r="A118" s="39">
        <v>48.0</v>
      </c>
      <c r="B118" s="31" t="s">
        <v>209</v>
      </c>
      <c r="C118" s="27" t="s">
        <v>194</v>
      </c>
      <c r="D118" s="4">
        <v>1.0</v>
      </c>
      <c r="E118" s="28" t="str">
        <f>VLOOKUP(C118,Insumos!$A$2:$C$67,2)</f>
        <v>SALCHICHA AMERICANA</v>
      </c>
    </row>
    <row r="119">
      <c r="A119" s="39">
        <v>48.0</v>
      </c>
      <c r="B119" s="31" t="s">
        <v>209</v>
      </c>
      <c r="C119" s="27" t="s">
        <v>198</v>
      </c>
      <c r="D119" s="4">
        <v>150.0</v>
      </c>
      <c r="E119" s="28" t="str">
        <f>VLOOKUP(C119,Insumos!$A$2:$C$67,2)</f>
        <v>PAPA FRANCESA</v>
      </c>
    </row>
    <row r="120">
      <c r="A120" s="39">
        <v>48.0</v>
      </c>
      <c r="B120" s="31" t="s">
        <v>209</v>
      </c>
      <c r="C120" s="27" t="s">
        <v>189</v>
      </c>
      <c r="D120" s="4">
        <v>25.0</v>
      </c>
      <c r="E120" s="28" t="str">
        <f>VLOOKUP(C120,Insumos!$A$2:$C$67,2)</f>
        <v>QUESO TAJADO</v>
      </c>
    </row>
    <row r="121">
      <c r="A121" s="39">
        <v>49.0</v>
      </c>
      <c r="B121" s="31" t="s">
        <v>211</v>
      </c>
      <c r="C121" s="27" t="s">
        <v>239</v>
      </c>
      <c r="D121" s="4">
        <v>1.0</v>
      </c>
      <c r="E121" s="28" t="str">
        <f>VLOOKUP(C121,Insumos!$A$2:$C$67,2)</f>
        <v>PATACONA HAM</v>
      </c>
    </row>
    <row r="122">
      <c r="A122" s="39">
        <v>50.0</v>
      </c>
      <c r="B122" s="31" t="s">
        <v>212</v>
      </c>
      <c r="C122" s="27" t="s">
        <v>241</v>
      </c>
      <c r="D122" s="4">
        <v>1.0</v>
      </c>
      <c r="E122" s="28" t="str">
        <f>VLOOKUP(C122,Insumos!$A$2:$C$67,2)</f>
        <v>COLA Y POLA LATA</v>
      </c>
    </row>
    <row r="123">
      <c r="A123" s="39">
        <v>51.0</v>
      </c>
      <c r="B123" s="31" t="s">
        <v>214</v>
      </c>
      <c r="C123" s="27" t="s">
        <v>244</v>
      </c>
      <c r="D123" s="4">
        <v>1.0</v>
      </c>
      <c r="E123" s="28" t="str">
        <f>VLOOKUP(C123,Insumos!$A$2:$C$67,2)</f>
        <v>HUEVOS CODORNIZ</v>
      </c>
    </row>
    <row r="124">
      <c r="A124" s="39">
        <v>52.0</v>
      </c>
      <c r="B124" s="31" t="s">
        <v>217</v>
      </c>
      <c r="C124" s="27" t="s">
        <v>187</v>
      </c>
      <c r="D124" s="4">
        <v>1.0</v>
      </c>
      <c r="E124" s="28" t="str">
        <f>VLOOKUP(C124,Insumos!$A$2:$C$67,2)</f>
        <v>PAN HAMBURGUESA</v>
      </c>
    </row>
    <row r="125">
      <c r="A125" s="39">
        <v>52.0</v>
      </c>
      <c r="B125" s="31" t="s">
        <v>217</v>
      </c>
      <c r="C125" s="27" t="s">
        <v>191</v>
      </c>
      <c r="D125" s="4">
        <v>2.0</v>
      </c>
      <c r="E125" s="28" t="str">
        <f>VLOOKUP(C125,Insumos!$A$2:$C$67,2)</f>
        <v>POLLO HAMBURGUESA</v>
      </c>
    </row>
    <row r="126">
      <c r="A126" s="39">
        <v>52.0</v>
      </c>
      <c r="B126" s="31" t="s">
        <v>217</v>
      </c>
      <c r="C126" s="27" t="s">
        <v>189</v>
      </c>
      <c r="D126" s="4">
        <v>50.0</v>
      </c>
      <c r="E126" s="28" t="str">
        <f>VLOOKUP(C126,Insumos!$A$2:$C$67,2)</f>
        <v>QUESO TAJADO</v>
      </c>
    </row>
    <row r="127">
      <c r="A127" s="39">
        <v>52.0</v>
      </c>
      <c r="B127" s="31" t="s">
        <v>217</v>
      </c>
      <c r="C127" s="27" t="s">
        <v>190</v>
      </c>
      <c r="D127" s="4">
        <v>50.0</v>
      </c>
      <c r="E127" s="28" t="str">
        <f>VLOOKUP(C127,Insumos!$A$2:$C$67,2)</f>
        <v>TOCINETA</v>
      </c>
    </row>
    <row r="128">
      <c r="A128" s="39">
        <v>53.0</v>
      </c>
      <c r="B128" s="31" t="s">
        <v>221</v>
      </c>
      <c r="C128" s="27" t="s">
        <v>205</v>
      </c>
      <c r="D128" s="4">
        <v>1.0</v>
      </c>
      <c r="E128" s="28" t="str">
        <f>VLOOKUP(C128,Insumos!$A$2:$C$67,2)</f>
        <v>PECHUGA</v>
      </c>
    </row>
    <row r="129">
      <c r="A129" s="39">
        <v>53.0</v>
      </c>
      <c r="B129" s="31" t="s">
        <v>221</v>
      </c>
      <c r="C129" s="27" t="s">
        <v>139</v>
      </c>
      <c r="D129" s="4">
        <v>150.0</v>
      </c>
      <c r="E129" s="28" t="str">
        <f>VLOOKUP(C129,Insumos!$A$2:$C$67,2)</f>
        <v>QUESO PIZZA</v>
      </c>
    </row>
    <row r="130">
      <c r="A130" s="39">
        <v>53.0</v>
      </c>
      <c r="B130" s="31" t="s">
        <v>221</v>
      </c>
      <c r="C130" s="27" t="s">
        <v>198</v>
      </c>
      <c r="D130" s="4">
        <v>150.0</v>
      </c>
      <c r="E130" s="28" t="str">
        <f>VLOOKUP(C130,Insumos!$A$2:$C$67,2)</f>
        <v>PAPA FRANCESA</v>
      </c>
    </row>
    <row r="131">
      <c r="A131" s="39">
        <v>54.0</v>
      </c>
      <c r="B131" s="31" t="s">
        <v>224</v>
      </c>
      <c r="C131" s="27" t="s">
        <v>255</v>
      </c>
      <c r="D131" s="4">
        <v>1.0</v>
      </c>
      <c r="E131" s="28" t="str">
        <f>VLOOKUP(C131,Insumos!$A$2:$C$67,2)</f>
        <v>H2O</v>
      </c>
    </row>
    <row r="132">
      <c r="A132" s="39">
        <v>55.0</v>
      </c>
      <c r="B132" s="31" t="s">
        <v>227</v>
      </c>
      <c r="C132" s="27" t="s">
        <v>258</v>
      </c>
      <c r="D132" s="4">
        <v>1.0</v>
      </c>
      <c r="E132" s="28" t="str">
        <f>VLOOKUP(C132,Insumos!$A$2:$C$67,2)</f>
        <v>PICADAS</v>
      </c>
    </row>
    <row r="133">
      <c r="A133" s="39">
        <v>55.0</v>
      </c>
      <c r="B133" s="31" t="s">
        <v>227</v>
      </c>
      <c r="C133" s="27" t="s">
        <v>198</v>
      </c>
      <c r="D133" s="4">
        <v>250.0</v>
      </c>
      <c r="E133" s="28" t="str">
        <f>VLOOKUP(C133,Insumos!$A$2:$C$67,2)</f>
        <v>PAPA FRANCESA</v>
      </c>
    </row>
    <row r="134">
      <c r="A134" s="39">
        <v>55.0</v>
      </c>
      <c r="B134" s="31" t="s">
        <v>227</v>
      </c>
      <c r="C134" s="27" t="s">
        <v>197</v>
      </c>
      <c r="D134" s="4">
        <v>1.0</v>
      </c>
      <c r="E134" s="28" t="str">
        <f>VLOOKUP(C134,Insumos!$A$2:$C$67,2)</f>
        <v>CHORIZOS</v>
      </c>
    </row>
    <row r="135">
      <c r="A135" s="39">
        <v>56.0</v>
      </c>
      <c r="B135" s="31" t="s">
        <v>84</v>
      </c>
      <c r="C135" s="27" t="s">
        <v>261</v>
      </c>
      <c r="D135" s="4">
        <v>1.0</v>
      </c>
      <c r="E135" s="28" t="str">
        <f>VLOOKUP(C135,Insumos!$A$2:$C$67,2)</f>
        <v>MAZORCADA</v>
      </c>
    </row>
    <row r="136">
      <c r="A136" s="39">
        <v>56.0</v>
      </c>
      <c r="B136" s="31" t="s">
        <v>84</v>
      </c>
      <c r="C136" s="27" t="s">
        <v>173</v>
      </c>
      <c r="D136" s="4">
        <v>200.0</v>
      </c>
      <c r="E136" s="28" t="str">
        <f>VLOOKUP(C136,Insumos!$A$2:$C$67,2)</f>
        <v>MAZORCA</v>
      </c>
    </row>
    <row r="137">
      <c r="A137" s="39">
        <v>57.0</v>
      </c>
      <c r="B137" s="31" t="s">
        <v>233</v>
      </c>
      <c r="C137" s="27" t="s">
        <v>184</v>
      </c>
      <c r="D137" s="4">
        <v>200.0</v>
      </c>
      <c r="E137" s="28" t="str">
        <f>VLOOKUP(C137,Insumos!$A$2:$C$67,2)</f>
        <v>DESMECHADA</v>
      </c>
    </row>
    <row r="138">
      <c r="A138" s="39">
        <v>57.0</v>
      </c>
      <c r="B138" s="31" t="s">
        <v>233</v>
      </c>
      <c r="C138" s="27" t="s">
        <v>189</v>
      </c>
      <c r="D138" s="4">
        <v>75.0</v>
      </c>
      <c r="E138" s="28" t="str">
        <f>VLOOKUP(C138,Insumos!$A$2:$C$67,2)</f>
        <v>QUESO TAJADO</v>
      </c>
    </row>
    <row r="139">
      <c r="A139" s="39">
        <v>58.0</v>
      </c>
      <c r="B139" s="31" t="s">
        <v>104</v>
      </c>
      <c r="C139" s="27" t="s">
        <v>264</v>
      </c>
      <c r="D139" s="4">
        <v>1.0</v>
      </c>
      <c r="E139" s="28" t="str">
        <f>VLOOKUP(C139,Insumos!$A$2:$C$67,2)</f>
        <v>MINI CHURRASCO</v>
      </c>
    </row>
    <row r="140">
      <c r="A140" s="39">
        <v>58.0</v>
      </c>
      <c r="B140" s="31" t="s">
        <v>104</v>
      </c>
      <c r="C140" s="27" t="s">
        <v>198</v>
      </c>
      <c r="D140" s="4">
        <v>150.0</v>
      </c>
      <c r="E140" s="28" t="str">
        <f>VLOOKUP(C140,Insumos!$A$2:$C$67,2)</f>
        <v>PAPA FRANCESA</v>
      </c>
    </row>
    <row r="141">
      <c r="A141" s="39">
        <v>59.0</v>
      </c>
      <c r="B141" s="31" t="s">
        <v>236</v>
      </c>
      <c r="C141" s="27" t="s">
        <v>222</v>
      </c>
      <c r="D141" s="4">
        <v>1.0</v>
      </c>
      <c r="E141" s="28" t="str">
        <f>VLOOKUP(C141,Insumos!$A$2:$C$67,2)</f>
        <v>CERVEZA POKER</v>
      </c>
    </row>
    <row r="142">
      <c r="A142" s="39">
        <v>60.0</v>
      </c>
      <c r="B142" s="31" t="s">
        <v>237</v>
      </c>
      <c r="C142" s="27" t="s">
        <v>222</v>
      </c>
      <c r="D142" s="4">
        <v>1.0</v>
      </c>
      <c r="E142" s="28" t="str">
        <f>VLOOKUP(C142,Insumos!$A$2:$C$67,2)</f>
        <v>CERVEZA POKER</v>
      </c>
    </row>
    <row r="143">
      <c r="A143" s="39">
        <v>60.0</v>
      </c>
      <c r="B143" s="31" t="s">
        <v>237</v>
      </c>
      <c r="C143" s="27" t="s">
        <v>267</v>
      </c>
      <c r="D143" s="4">
        <v>1.0</v>
      </c>
      <c r="E143" s="28" t="str">
        <f>VLOOKUP(C143,Insumos!$A$2:$C$67,2)</f>
        <v>PULPA FRUTA</v>
      </c>
    </row>
    <row r="144">
      <c r="A144" s="39">
        <v>61.0</v>
      </c>
      <c r="B144" s="31" t="s">
        <v>238</v>
      </c>
      <c r="C144" s="27" t="s">
        <v>268</v>
      </c>
      <c r="D144" s="4">
        <v>1.0</v>
      </c>
      <c r="E144" s="28" t="str">
        <f>VLOOKUP(C144,Insumos!$A$2:$C$67,2)</f>
        <v>CEREZADA</v>
      </c>
    </row>
    <row r="145">
      <c r="A145" s="39">
        <v>62.0</v>
      </c>
      <c r="B145" s="31" t="s">
        <v>240</v>
      </c>
      <c r="C145" s="27" t="s">
        <v>187</v>
      </c>
      <c r="D145" s="4">
        <v>1.0</v>
      </c>
      <c r="E145" s="28" t="str">
        <f>VLOOKUP(C145,Insumos!$A$2:$C$67,2)</f>
        <v>PAN HAMBURGUESA</v>
      </c>
    </row>
    <row r="146">
      <c r="A146" s="39">
        <v>62.0</v>
      </c>
      <c r="B146" s="31" t="s">
        <v>240</v>
      </c>
      <c r="C146" s="27" t="s">
        <v>188</v>
      </c>
      <c r="D146" s="4">
        <v>2.0</v>
      </c>
      <c r="E146" s="28" t="str">
        <f>VLOOKUP(C146,Insumos!$A$2:$C$67,2)</f>
        <v>CARNE HAMBURGUESA</v>
      </c>
    </row>
    <row r="147">
      <c r="A147" s="39">
        <v>62.0</v>
      </c>
      <c r="B147" s="31" t="s">
        <v>240</v>
      </c>
      <c r="C147" s="27" t="s">
        <v>191</v>
      </c>
      <c r="D147" s="4">
        <v>1.0</v>
      </c>
      <c r="E147" s="28" t="str">
        <f>VLOOKUP(C147,Insumos!$A$2:$C$67,2)</f>
        <v>POLLO HAMBURGUESA</v>
      </c>
    </row>
    <row r="148">
      <c r="A148" s="39">
        <v>62.0</v>
      </c>
      <c r="B148" s="31" t="s">
        <v>240</v>
      </c>
      <c r="C148" s="27" t="s">
        <v>189</v>
      </c>
      <c r="D148" s="4">
        <v>75.0</v>
      </c>
      <c r="E148" s="28" t="str">
        <f>VLOOKUP(C148,Insumos!$A$2:$C$67,2)</f>
        <v>QUESO TAJADO</v>
      </c>
    </row>
    <row r="149">
      <c r="A149" s="39">
        <v>62.0</v>
      </c>
      <c r="B149" s="31" t="s">
        <v>240</v>
      </c>
      <c r="C149" s="27" t="s">
        <v>190</v>
      </c>
      <c r="D149" s="4">
        <v>75.0</v>
      </c>
      <c r="E149" s="28" t="str">
        <f>VLOOKUP(C149,Insumos!$A$2:$C$67,2)</f>
        <v>TOCINETA</v>
      </c>
    </row>
    <row r="150">
      <c r="A150" s="39">
        <v>63.0</v>
      </c>
      <c r="B150" s="31" t="s">
        <v>242</v>
      </c>
      <c r="C150" s="27" t="s">
        <v>267</v>
      </c>
      <c r="D150" s="4">
        <v>1.0</v>
      </c>
      <c r="E150" s="28" t="str">
        <f>VLOOKUP(C150,Insumos!$A$2:$C$67,2)</f>
        <v>PULPA FRUTA</v>
      </c>
    </row>
    <row r="151">
      <c r="A151" s="39">
        <v>64.0</v>
      </c>
      <c r="B151" s="31" t="s">
        <v>245</v>
      </c>
      <c r="C151" s="27" t="s">
        <v>267</v>
      </c>
      <c r="D151" s="4">
        <v>1.0</v>
      </c>
      <c r="E151" s="28" t="str">
        <f>VLOOKUP(C151,Insumos!$A$2:$C$67,2)</f>
        <v>PULPA FRUTA</v>
      </c>
    </row>
    <row r="152">
      <c r="A152" s="39">
        <v>64.0</v>
      </c>
      <c r="B152" s="31" t="s">
        <v>245</v>
      </c>
      <c r="C152" s="27" t="s">
        <v>271</v>
      </c>
      <c r="D152" s="4">
        <v>400.0</v>
      </c>
      <c r="E152" s="28" t="str">
        <f>VLOOKUP(C152,Insumos!$A$2:$C$67,2)</f>
        <v>LECHE</v>
      </c>
    </row>
    <row r="153">
      <c r="A153" s="39">
        <v>65.0</v>
      </c>
      <c r="B153" s="31" t="s">
        <v>247</v>
      </c>
      <c r="C153" s="27" t="s">
        <v>267</v>
      </c>
      <c r="D153" s="4">
        <v>2.0</v>
      </c>
      <c r="E153" s="28" t="str">
        <f>VLOOKUP(C153,Insumos!$A$2:$C$67,2)</f>
        <v>PULPA FRUTA</v>
      </c>
    </row>
    <row r="154">
      <c r="A154" s="39">
        <v>66.0</v>
      </c>
      <c r="B154" s="31" t="s">
        <v>249</v>
      </c>
      <c r="C154" s="27" t="s">
        <v>267</v>
      </c>
      <c r="D154" s="4">
        <v>2.0</v>
      </c>
      <c r="E154" s="28" t="str">
        <f>VLOOKUP(C154,Insumos!$A$2:$C$67,2)</f>
        <v>PULPA FRUTA</v>
      </c>
    </row>
    <row r="155">
      <c r="A155" s="39">
        <v>66.0</v>
      </c>
      <c r="B155" s="31" t="s">
        <v>249</v>
      </c>
      <c r="C155" s="27" t="s">
        <v>271</v>
      </c>
      <c r="D155" s="4">
        <v>800.0</v>
      </c>
      <c r="E155" s="28" t="str">
        <f>VLOOKUP(C155,Insumos!$A$2:$C$67,2)</f>
        <v>LECHE</v>
      </c>
    </row>
    <row r="156">
      <c r="A156" s="39">
        <v>67.0</v>
      </c>
      <c r="B156" s="31" t="s">
        <v>251</v>
      </c>
      <c r="C156" s="27" t="s">
        <v>241</v>
      </c>
      <c r="D156" s="4">
        <v>1.0</v>
      </c>
      <c r="E156" s="28" t="str">
        <f>VLOOKUP(C156,Insumos!$A$2:$C$67,2)</f>
        <v>COLA Y POLA LATA</v>
      </c>
    </row>
    <row r="157">
      <c r="A157" s="39">
        <v>68.0</v>
      </c>
      <c r="B157" s="31" t="s">
        <v>253</v>
      </c>
      <c r="C157" s="27" t="s">
        <v>258</v>
      </c>
      <c r="D157" s="4">
        <v>1.5</v>
      </c>
      <c r="E157" s="28" t="str">
        <f>VLOOKUP(C157,Insumos!$A$2:$C$67,2)</f>
        <v>PICADAS</v>
      </c>
    </row>
    <row r="158">
      <c r="A158" s="39">
        <v>68.0</v>
      </c>
      <c r="B158" s="31" t="s">
        <v>253</v>
      </c>
      <c r="C158" s="27" t="s">
        <v>198</v>
      </c>
      <c r="D158" s="4">
        <v>350.0</v>
      </c>
      <c r="E158" s="28" t="str">
        <f>VLOOKUP(C158,Insumos!$A$2:$C$67,2)</f>
        <v>PAPA FRANCESA</v>
      </c>
    </row>
    <row r="159">
      <c r="A159" s="39">
        <v>68.0</v>
      </c>
      <c r="B159" s="31" t="s">
        <v>253</v>
      </c>
      <c r="C159" s="27" t="s">
        <v>197</v>
      </c>
      <c r="D159" s="4">
        <v>1.5</v>
      </c>
      <c r="E159" s="28" t="str">
        <f>VLOOKUP(C159,Insumos!$A$2:$C$67,2)</f>
        <v>CHORIZOS</v>
      </c>
    </row>
    <row r="160">
      <c r="A160" s="39">
        <v>69.0</v>
      </c>
      <c r="B160" s="31" t="s">
        <v>260</v>
      </c>
      <c r="C160" s="27" t="s">
        <v>258</v>
      </c>
      <c r="D160" s="4">
        <v>2.0</v>
      </c>
      <c r="E160" s="28" t="str">
        <f>VLOOKUP(C160,Insumos!$A$2:$C$67,2)</f>
        <v>PICADAS</v>
      </c>
    </row>
    <row r="161">
      <c r="A161" s="39">
        <v>69.0</v>
      </c>
      <c r="B161" s="31" t="s">
        <v>260</v>
      </c>
      <c r="C161" s="27" t="s">
        <v>198</v>
      </c>
      <c r="D161" s="4">
        <v>450.0</v>
      </c>
      <c r="E161" s="28" t="str">
        <f>VLOOKUP(C161,Insumos!$A$2:$C$67,2)</f>
        <v>PAPA FRANCESA</v>
      </c>
    </row>
    <row r="162">
      <c r="A162" s="39">
        <v>69.0</v>
      </c>
      <c r="B162" s="31" t="s">
        <v>260</v>
      </c>
      <c r="C162" s="27" t="s">
        <v>197</v>
      </c>
      <c r="D162" s="4">
        <v>2.0</v>
      </c>
      <c r="E162" s="28" t="str">
        <f>VLOOKUP(C162,Insumos!$A$2:$C$67,2)</f>
        <v>CHORIZOS</v>
      </c>
    </row>
    <row r="163">
      <c r="A163" s="39">
        <v>70.0</v>
      </c>
      <c r="B163" s="31" t="s">
        <v>262</v>
      </c>
      <c r="C163" s="27" t="s">
        <v>258</v>
      </c>
      <c r="D163" s="4">
        <v>2.5</v>
      </c>
      <c r="E163" s="28" t="str">
        <f>VLOOKUP(C163,Insumos!$A$2:$C$67,2)</f>
        <v>PICADAS</v>
      </c>
    </row>
    <row r="164">
      <c r="A164" s="39">
        <v>70.0</v>
      </c>
      <c r="B164" s="31" t="s">
        <v>262</v>
      </c>
      <c r="C164" s="27" t="s">
        <v>198</v>
      </c>
      <c r="D164" s="4">
        <v>550.0</v>
      </c>
      <c r="E164" s="28" t="str">
        <f>VLOOKUP(C164,Insumos!$A$2:$C$67,2)</f>
        <v>PAPA FRANCESA</v>
      </c>
    </row>
    <row r="165">
      <c r="A165" s="39">
        <v>70.0</v>
      </c>
      <c r="B165" s="31" t="s">
        <v>262</v>
      </c>
      <c r="C165" s="27" t="s">
        <v>197</v>
      </c>
      <c r="D165" s="4">
        <v>2.5</v>
      </c>
      <c r="E165" s="28" t="str">
        <f>VLOOKUP(C165,Insumos!$A$2:$C$67,2)</f>
        <v>CHORIZOS</v>
      </c>
    </row>
    <row r="166">
      <c r="A166" s="39">
        <v>71.0</v>
      </c>
      <c r="B166" s="31" t="s">
        <v>263</v>
      </c>
      <c r="C166" s="27" t="s">
        <v>267</v>
      </c>
      <c r="D166" s="4">
        <v>1.0</v>
      </c>
      <c r="E166" s="28" t="str">
        <f>VLOOKUP(C166,Insumos!$A$2:$C$67,2)</f>
        <v>PULPA FRUTA</v>
      </c>
    </row>
    <row r="167">
      <c r="A167" s="39">
        <v>71.0</v>
      </c>
      <c r="B167" s="31" t="s">
        <v>263</v>
      </c>
      <c r="C167" s="27" t="s">
        <v>215</v>
      </c>
      <c r="D167" s="4">
        <v>0.3</v>
      </c>
      <c r="E167" s="28" t="str">
        <f>VLOOKUP(C167,Insumos!$A$2:$C$67,2)</f>
        <v>GASEOSA 1.5</v>
      </c>
    </row>
    <row r="168">
      <c r="A168" s="39">
        <v>72.0</v>
      </c>
      <c r="B168" s="31" t="s">
        <v>265</v>
      </c>
      <c r="C168" s="27" t="s">
        <v>267</v>
      </c>
      <c r="D168" s="4">
        <v>2.0</v>
      </c>
      <c r="E168" s="28" t="str">
        <f>VLOOKUP(C168,Insumos!$A$2:$C$67,2)</f>
        <v>PULPA FRUTA</v>
      </c>
    </row>
    <row r="169">
      <c r="A169" s="39">
        <v>72.0</v>
      </c>
      <c r="B169" s="31" t="s">
        <v>265</v>
      </c>
      <c r="C169" s="27" t="s">
        <v>215</v>
      </c>
      <c r="D169" s="4">
        <v>0.5</v>
      </c>
      <c r="E169" s="28" t="str">
        <f>VLOOKUP(C169,Insumos!$A$2:$C$67,2)</f>
        <v>GASEOSA 1.5</v>
      </c>
    </row>
    <row r="170">
      <c r="A170" s="39">
        <v>73.0</v>
      </c>
      <c r="B170" s="31" t="s">
        <v>38</v>
      </c>
      <c r="C170" s="27" t="s">
        <v>194</v>
      </c>
      <c r="D170" s="4">
        <v>1.0</v>
      </c>
      <c r="E170" s="28" t="str">
        <f>VLOOKUP(C170,Insumos!$A$2:$C$67,2)</f>
        <v>SALCHICHA AMERICANA</v>
      </c>
    </row>
    <row r="171">
      <c r="A171" s="39">
        <v>74.0</v>
      </c>
      <c r="B171" s="31" t="s">
        <v>243</v>
      </c>
      <c r="C171" s="27" t="s">
        <v>273</v>
      </c>
      <c r="D171" s="4">
        <v>1.0</v>
      </c>
      <c r="E171" s="28" t="str">
        <f>VLOOKUP(C171,Insumos!$A$2:$C$67,2)</f>
        <v>CAJA PIZZA GRANDE</v>
      </c>
    </row>
    <row r="172">
      <c r="A172" s="39">
        <v>75.0</v>
      </c>
      <c r="B172" s="31" t="s">
        <v>246</v>
      </c>
      <c r="C172" s="27" t="s">
        <v>274</v>
      </c>
      <c r="D172" s="4">
        <v>1.0</v>
      </c>
      <c r="E172" s="28" t="str">
        <f>VLOOKUP(C172,Insumos!$A$2:$C$67,2)</f>
        <v>PORCION PATACON</v>
      </c>
    </row>
    <row r="173">
      <c r="A173" s="39">
        <v>76.0</v>
      </c>
      <c r="B173" s="31" t="s">
        <v>248</v>
      </c>
      <c r="C173" s="27" t="s">
        <v>275</v>
      </c>
      <c r="D173" s="4">
        <v>1.0</v>
      </c>
      <c r="E173" s="28" t="str">
        <f>VLOOKUP(C173,Insumos!$A$2:$C$67,2)</f>
        <v>CAJA PIZZA PEQUEÑA</v>
      </c>
    </row>
    <row r="174">
      <c r="A174" s="39">
        <v>77.0</v>
      </c>
      <c r="B174" s="31" t="s">
        <v>250</v>
      </c>
      <c r="C174" s="27" t="s">
        <v>276</v>
      </c>
      <c r="D174" s="4">
        <v>1.0</v>
      </c>
      <c r="E174" s="28" t="str">
        <f>VLOOKUP(C174,Insumos!$A$2:$C$67,2)</f>
        <v>BAÑO</v>
      </c>
    </row>
    <row r="175">
      <c r="A175" s="39">
        <v>78.0</v>
      </c>
      <c r="B175" s="31" t="s">
        <v>278</v>
      </c>
      <c r="C175" s="27" t="s">
        <v>196</v>
      </c>
      <c r="D175" s="4">
        <v>1.0</v>
      </c>
      <c r="E175" s="28" t="str">
        <f>VLOOKUP(C175,Insumos!$A$2:$C$67,2)</f>
        <v>SALCHICHA SUIZA</v>
      </c>
    </row>
    <row r="176">
      <c r="A176" s="39">
        <v>80.0</v>
      </c>
      <c r="B176" s="31" t="s">
        <v>124</v>
      </c>
      <c r="C176" s="27" t="s">
        <v>270</v>
      </c>
      <c r="D176" s="4">
        <v>1.0</v>
      </c>
      <c r="E176" s="28" t="str">
        <f>VLOOKUP(C176,Insumos!$A$2:$C$67,2)</f>
        <v>LOMO DE CERDO</v>
      </c>
    </row>
    <row r="177">
      <c r="A177" s="39">
        <v>80.0</v>
      </c>
      <c r="B177" s="31" t="s">
        <v>124</v>
      </c>
      <c r="C177" s="27" t="s">
        <v>198</v>
      </c>
      <c r="D177" s="4">
        <v>150.0</v>
      </c>
      <c r="E177" s="28" t="str">
        <f>VLOOKUP(C177,Insumos!$A$2:$C$67,2)</f>
        <v>PAPA FRANCESA</v>
      </c>
    </row>
    <row r="178">
      <c r="A178" s="39">
        <v>81.0</v>
      </c>
      <c r="B178" s="31" t="s">
        <v>279</v>
      </c>
      <c r="C178" s="27" t="s">
        <v>202</v>
      </c>
      <c r="D178" s="4">
        <v>1.0</v>
      </c>
      <c r="E178" s="28" t="str">
        <f>VLOOKUP(C178,Insumos!$A$2:$C$67,2)</f>
        <v>CHURRASCOS</v>
      </c>
    </row>
    <row r="179">
      <c r="A179" s="39">
        <v>81.0</v>
      </c>
      <c r="B179" s="31" t="s">
        <v>279</v>
      </c>
      <c r="C179" s="27" t="s">
        <v>198</v>
      </c>
      <c r="D179" s="4">
        <v>150.0</v>
      </c>
      <c r="E179" s="28" t="str">
        <f>VLOOKUP(C179,Insumos!$A$2:$C$67,2)</f>
        <v>PAPA FRANCESA</v>
      </c>
    </row>
    <row r="180">
      <c r="A180" s="39">
        <v>83.0</v>
      </c>
      <c r="B180" s="31" t="s">
        <v>280</v>
      </c>
      <c r="C180" s="27" t="s">
        <v>205</v>
      </c>
      <c r="D180" s="4">
        <v>1.0</v>
      </c>
      <c r="E180" s="28" t="str">
        <f>VLOOKUP(C180,Insumos!$A$2:$C$67,2)</f>
        <v>PECHUGA</v>
      </c>
    </row>
    <row r="181">
      <c r="A181" s="39">
        <v>83.0</v>
      </c>
      <c r="B181" s="31" t="s">
        <v>280</v>
      </c>
      <c r="C181" s="27" t="s">
        <v>198</v>
      </c>
      <c r="D181" s="4">
        <v>150.0</v>
      </c>
      <c r="E181" s="28" t="str">
        <f>VLOOKUP(C181,Insumos!$A$2:$C$67,2)</f>
        <v>PAPA FRANCESA</v>
      </c>
    </row>
    <row r="182">
      <c r="A182" s="39">
        <v>84.0</v>
      </c>
      <c r="B182" s="31" t="s">
        <v>281</v>
      </c>
      <c r="C182" s="27" t="s">
        <v>187</v>
      </c>
      <c r="D182" s="4">
        <v>1.0</v>
      </c>
      <c r="E182" s="28" t="str">
        <f>VLOOKUP(C182,Insumos!$A$2:$C$67,2)</f>
        <v>PAN HAMBURGUESA</v>
      </c>
    </row>
    <row r="183">
      <c r="A183" s="39">
        <v>84.0</v>
      </c>
      <c r="B183" s="31" t="s">
        <v>281</v>
      </c>
      <c r="C183" s="27" t="s">
        <v>188</v>
      </c>
      <c r="D183" s="4">
        <v>2.0</v>
      </c>
      <c r="E183" s="28" t="str">
        <f>VLOOKUP(C183,Insumos!$A$2:$C$67,2)</f>
        <v>CARNE HAMBURGUESA</v>
      </c>
    </row>
    <row r="184">
      <c r="A184" s="39">
        <v>84.0</v>
      </c>
      <c r="B184" s="31" t="s">
        <v>281</v>
      </c>
      <c r="C184" s="27" t="s">
        <v>189</v>
      </c>
      <c r="D184" s="4">
        <v>25.0</v>
      </c>
      <c r="E184" s="28" t="str">
        <f>VLOOKUP(C184,Insumos!$A$2:$C$67,2)</f>
        <v>QUESO TAJADO</v>
      </c>
    </row>
    <row r="185">
      <c r="A185" s="39">
        <v>84.0</v>
      </c>
      <c r="B185" s="31" t="s">
        <v>281</v>
      </c>
      <c r="C185" s="27" t="s">
        <v>190</v>
      </c>
      <c r="D185" s="4">
        <v>30.0</v>
      </c>
      <c r="E185" s="28" t="str">
        <f>VLOOKUP(C185,Insumos!$A$2:$C$67,2)</f>
        <v>TOCINETA</v>
      </c>
    </row>
    <row r="186">
      <c r="A186" s="39">
        <v>84.0</v>
      </c>
      <c r="B186" s="31" t="s">
        <v>281</v>
      </c>
      <c r="C186" s="27" t="s">
        <v>173</v>
      </c>
      <c r="D186" s="4">
        <v>50.0</v>
      </c>
      <c r="E186" s="28" t="str">
        <f>VLOOKUP(C186,Insumos!$A$2:$C$67,2)</f>
        <v>MAZORCA</v>
      </c>
    </row>
    <row r="187">
      <c r="A187" s="39">
        <v>85.0</v>
      </c>
      <c r="B187" s="31" t="s">
        <v>282</v>
      </c>
      <c r="C187" s="27" t="s">
        <v>139</v>
      </c>
      <c r="D187" s="4">
        <v>150.0</v>
      </c>
      <c r="E187" s="28" t="str">
        <f>VLOOKUP(C187,Insumos!$A$2:$C$67,2)</f>
        <v>QUESO PIZZA</v>
      </c>
    </row>
    <row r="188">
      <c r="A188" s="39">
        <v>99.0</v>
      </c>
      <c r="B188" s="31" t="s">
        <v>252</v>
      </c>
      <c r="C188" s="27" t="s">
        <v>277</v>
      </c>
      <c r="D188" s="4">
        <v>1.0</v>
      </c>
      <c r="E188" s="28" t="str">
        <f>VLOOKUP(C188,Insumos!$A$2:$C$67,2)</f>
        <v>DESECHABLE</v>
      </c>
    </row>
    <row r="189">
      <c r="C189" s="45"/>
    </row>
    <row r="190">
      <c r="C190" s="45"/>
    </row>
    <row r="191">
      <c r="C191" s="45"/>
    </row>
    <row r="192">
      <c r="C192" s="45"/>
    </row>
    <row r="193">
      <c r="C193" s="45"/>
    </row>
    <row r="194">
      <c r="C194" s="45"/>
    </row>
    <row r="195">
      <c r="C195" s="45"/>
    </row>
    <row r="196">
      <c r="C196" s="45"/>
    </row>
    <row r="197">
      <c r="C197" s="45"/>
    </row>
    <row r="198">
      <c r="C198" s="45"/>
    </row>
    <row r="199">
      <c r="C199" s="45"/>
    </row>
    <row r="200">
      <c r="C200" s="45"/>
    </row>
    <row r="201">
      <c r="C201" s="45"/>
    </row>
    <row r="202">
      <c r="C202" s="45"/>
    </row>
    <row r="203">
      <c r="C203" s="45"/>
    </row>
    <row r="204">
      <c r="C204" s="45"/>
    </row>
    <row r="205">
      <c r="C205" s="45"/>
    </row>
    <row r="206">
      <c r="C206" s="45"/>
    </row>
    <row r="207">
      <c r="C207" s="45"/>
    </row>
    <row r="208">
      <c r="C208" s="45"/>
    </row>
    <row r="209">
      <c r="C209" s="45"/>
    </row>
    <row r="210">
      <c r="C210" s="45"/>
    </row>
    <row r="211">
      <c r="C211" s="45"/>
    </row>
    <row r="212">
      <c r="C212" s="45"/>
    </row>
    <row r="213">
      <c r="C213" s="45"/>
    </row>
    <row r="214">
      <c r="C214" s="45"/>
    </row>
    <row r="215">
      <c r="C215" s="45"/>
    </row>
    <row r="216">
      <c r="C216" s="45"/>
    </row>
    <row r="217">
      <c r="C217" s="45"/>
    </row>
    <row r="218">
      <c r="C218" s="45"/>
    </row>
    <row r="219">
      <c r="C219" s="45"/>
    </row>
    <row r="220">
      <c r="C220" s="45"/>
    </row>
    <row r="221">
      <c r="C221" s="45"/>
    </row>
    <row r="222">
      <c r="C222" s="45"/>
    </row>
    <row r="223">
      <c r="C223" s="45"/>
    </row>
    <row r="224">
      <c r="C224" s="45"/>
    </row>
    <row r="225">
      <c r="C225" s="45"/>
    </row>
    <row r="226">
      <c r="C226" s="45"/>
    </row>
    <row r="227">
      <c r="C227" s="45"/>
    </row>
    <row r="228">
      <c r="C228" s="45"/>
    </row>
    <row r="229">
      <c r="C229" s="45"/>
    </row>
    <row r="230">
      <c r="C230" s="45"/>
    </row>
    <row r="231">
      <c r="C231" s="45"/>
    </row>
    <row r="232">
      <c r="C232" s="45"/>
    </row>
    <row r="233">
      <c r="C233" s="45"/>
    </row>
    <row r="234">
      <c r="C234" s="45"/>
    </row>
    <row r="235">
      <c r="C235" s="45"/>
    </row>
    <row r="236">
      <c r="C236" s="45"/>
    </row>
    <row r="237">
      <c r="C237" s="45"/>
    </row>
    <row r="238">
      <c r="C238" s="45"/>
    </row>
    <row r="239">
      <c r="C239" s="45"/>
    </row>
    <row r="240">
      <c r="C240" s="45"/>
    </row>
    <row r="241">
      <c r="C241" s="45"/>
    </row>
    <row r="242">
      <c r="C242" s="45"/>
    </row>
    <row r="243">
      <c r="C243" s="45"/>
    </row>
    <row r="244">
      <c r="C244" s="45"/>
    </row>
    <row r="245">
      <c r="C245" s="45"/>
    </row>
    <row r="246">
      <c r="C246" s="45"/>
    </row>
    <row r="247">
      <c r="C247" s="45"/>
    </row>
    <row r="248">
      <c r="C248" s="45"/>
    </row>
    <row r="249">
      <c r="C249" s="45"/>
    </row>
    <row r="250">
      <c r="C250" s="45"/>
    </row>
    <row r="251">
      <c r="C251" s="45"/>
    </row>
    <row r="252">
      <c r="C252" s="45"/>
    </row>
    <row r="253">
      <c r="C253" s="45"/>
    </row>
    <row r="254">
      <c r="C254" s="45"/>
    </row>
    <row r="255">
      <c r="C255" s="45"/>
    </row>
    <row r="256">
      <c r="C256" s="45"/>
    </row>
    <row r="257">
      <c r="C257" s="45"/>
    </row>
    <row r="258">
      <c r="C258" s="45"/>
    </row>
    <row r="259">
      <c r="C259" s="45"/>
    </row>
    <row r="260">
      <c r="C260" s="45"/>
    </row>
    <row r="261">
      <c r="C261" s="45"/>
    </row>
    <row r="262">
      <c r="C262" s="45"/>
    </row>
    <row r="263">
      <c r="C263" s="45"/>
    </row>
    <row r="264">
      <c r="C264" s="45"/>
    </row>
    <row r="265">
      <c r="C265" s="45"/>
    </row>
    <row r="266">
      <c r="C266" s="45"/>
    </row>
    <row r="267">
      <c r="C267" s="45"/>
    </row>
    <row r="268">
      <c r="C268" s="45"/>
    </row>
    <row r="269">
      <c r="C269" s="45"/>
    </row>
    <row r="270">
      <c r="C270" s="45"/>
    </row>
    <row r="271">
      <c r="C271" s="45"/>
    </row>
    <row r="272">
      <c r="C272" s="45"/>
    </row>
    <row r="273">
      <c r="C273" s="45"/>
    </row>
    <row r="274">
      <c r="C274" s="45"/>
    </row>
    <row r="275">
      <c r="C275" s="45"/>
    </row>
    <row r="276">
      <c r="C276" s="45"/>
    </row>
    <row r="277">
      <c r="C277" s="45"/>
    </row>
    <row r="278">
      <c r="C278" s="45"/>
    </row>
    <row r="279">
      <c r="C279" s="45"/>
    </row>
    <row r="280">
      <c r="C280" s="45"/>
    </row>
    <row r="281">
      <c r="C281" s="45"/>
    </row>
    <row r="282">
      <c r="C282" s="45"/>
    </row>
    <row r="283">
      <c r="C283" s="45"/>
    </row>
    <row r="284">
      <c r="C284" s="45"/>
    </row>
    <row r="285">
      <c r="C285" s="45"/>
    </row>
    <row r="286">
      <c r="C286" s="45"/>
    </row>
    <row r="287">
      <c r="C287" s="45"/>
    </row>
    <row r="288">
      <c r="C288" s="45"/>
    </row>
    <row r="289">
      <c r="C289" s="45"/>
    </row>
    <row r="290">
      <c r="C290" s="45"/>
    </row>
    <row r="291">
      <c r="C291" s="45"/>
    </row>
    <row r="292">
      <c r="C292" s="45"/>
    </row>
    <row r="293">
      <c r="C293" s="45"/>
    </row>
    <row r="294">
      <c r="C294" s="45"/>
    </row>
    <row r="295">
      <c r="C295" s="45"/>
    </row>
    <row r="296">
      <c r="C296" s="45"/>
    </row>
    <row r="297">
      <c r="C297" s="45"/>
    </row>
    <row r="298">
      <c r="C298" s="45"/>
    </row>
    <row r="299">
      <c r="C299" s="45"/>
    </row>
    <row r="300">
      <c r="C300" s="45"/>
    </row>
    <row r="301">
      <c r="C301" s="45"/>
    </row>
    <row r="302">
      <c r="C302" s="45"/>
    </row>
    <row r="303">
      <c r="C303" s="45"/>
    </row>
    <row r="304">
      <c r="C304" s="45"/>
    </row>
    <row r="305">
      <c r="C305" s="45"/>
    </row>
    <row r="306">
      <c r="C306" s="45"/>
    </row>
    <row r="307">
      <c r="C307" s="45"/>
    </row>
    <row r="308">
      <c r="C308" s="45"/>
    </row>
    <row r="309">
      <c r="C309" s="45"/>
    </row>
    <row r="310">
      <c r="C310" s="45"/>
    </row>
    <row r="311">
      <c r="C311" s="45"/>
    </row>
    <row r="312">
      <c r="C312" s="45"/>
    </row>
    <row r="313">
      <c r="C313" s="45"/>
    </row>
    <row r="314">
      <c r="C314" s="45"/>
    </row>
    <row r="315">
      <c r="C315" s="45"/>
    </row>
    <row r="316">
      <c r="C316" s="45"/>
    </row>
    <row r="317">
      <c r="C317" s="45"/>
    </row>
    <row r="318">
      <c r="C318" s="45"/>
    </row>
    <row r="319">
      <c r="C319" s="45"/>
    </row>
    <row r="320">
      <c r="C320" s="45"/>
    </row>
    <row r="321">
      <c r="C321" s="45"/>
    </row>
    <row r="322">
      <c r="C322" s="45"/>
    </row>
    <row r="323">
      <c r="C323" s="45"/>
    </row>
    <row r="324">
      <c r="C324" s="45"/>
    </row>
    <row r="325">
      <c r="C325" s="45"/>
    </row>
    <row r="326">
      <c r="C326" s="45"/>
    </row>
    <row r="327">
      <c r="C327" s="45"/>
    </row>
    <row r="328">
      <c r="C328" s="45"/>
    </row>
    <row r="329">
      <c r="C329" s="45"/>
    </row>
    <row r="330">
      <c r="C330" s="45"/>
    </row>
    <row r="331">
      <c r="C331" s="45"/>
    </row>
    <row r="332">
      <c r="C332" s="45"/>
    </row>
    <row r="333">
      <c r="C333" s="45"/>
    </row>
    <row r="334">
      <c r="C334" s="45"/>
    </row>
    <row r="335">
      <c r="C335" s="45"/>
    </row>
    <row r="336">
      <c r="C336" s="45"/>
    </row>
    <row r="337">
      <c r="C337" s="45"/>
    </row>
    <row r="338">
      <c r="C338" s="45"/>
    </row>
    <row r="339">
      <c r="C339" s="45"/>
    </row>
    <row r="340">
      <c r="C340" s="45"/>
    </row>
    <row r="341">
      <c r="C341" s="45"/>
    </row>
    <row r="342">
      <c r="C342" s="45"/>
    </row>
    <row r="343">
      <c r="C343" s="45"/>
    </row>
    <row r="344">
      <c r="C344" s="45"/>
    </row>
    <row r="345">
      <c r="C345" s="45"/>
    </row>
    <row r="346">
      <c r="C346" s="45"/>
    </row>
    <row r="347">
      <c r="C347" s="45"/>
    </row>
    <row r="348">
      <c r="C348" s="45"/>
    </row>
    <row r="349">
      <c r="C349" s="45"/>
    </row>
    <row r="350">
      <c r="C350" s="45"/>
    </row>
    <row r="351">
      <c r="C351" s="45"/>
    </row>
    <row r="352">
      <c r="C352" s="45"/>
    </row>
    <row r="353">
      <c r="C353" s="45"/>
    </row>
    <row r="354">
      <c r="C354" s="45"/>
    </row>
    <row r="355">
      <c r="C355" s="45"/>
    </row>
    <row r="356">
      <c r="C356" s="45"/>
    </row>
    <row r="357">
      <c r="C357" s="45"/>
    </row>
    <row r="358">
      <c r="C358" s="45"/>
    </row>
    <row r="359">
      <c r="C359" s="45"/>
    </row>
    <row r="360">
      <c r="C360" s="45"/>
    </row>
    <row r="361">
      <c r="C361" s="45"/>
    </row>
    <row r="362">
      <c r="C362" s="45"/>
    </row>
    <row r="363">
      <c r="C363" s="45"/>
    </row>
    <row r="364">
      <c r="C364" s="45"/>
    </row>
    <row r="365">
      <c r="C365" s="45"/>
    </row>
    <row r="366">
      <c r="C366" s="45"/>
    </row>
    <row r="367">
      <c r="C367" s="45"/>
    </row>
    <row r="368">
      <c r="C368" s="45"/>
    </row>
    <row r="369">
      <c r="C369" s="45"/>
    </row>
    <row r="370">
      <c r="C370" s="45"/>
    </row>
    <row r="371">
      <c r="C371" s="45"/>
    </row>
    <row r="372">
      <c r="C372" s="45"/>
    </row>
    <row r="373">
      <c r="C373" s="45"/>
    </row>
    <row r="374">
      <c r="C374" s="45"/>
    </row>
    <row r="375">
      <c r="C375" s="45"/>
    </row>
    <row r="376">
      <c r="C376" s="45"/>
    </row>
    <row r="377">
      <c r="C377" s="45"/>
    </row>
    <row r="378">
      <c r="C378" s="45"/>
    </row>
    <row r="379">
      <c r="C379" s="45"/>
    </row>
    <row r="380">
      <c r="C380" s="45"/>
    </row>
    <row r="381">
      <c r="C381" s="45"/>
    </row>
    <row r="382">
      <c r="C382" s="45"/>
    </row>
    <row r="383">
      <c r="C383" s="45"/>
    </row>
    <row r="384">
      <c r="C384" s="45"/>
    </row>
    <row r="385">
      <c r="C385" s="45"/>
    </row>
    <row r="386">
      <c r="C386" s="45"/>
    </row>
    <row r="387">
      <c r="C387" s="45"/>
    </row>
    <row r="388">
      <c r="C388" s="45"/>
    </row>
    <row r="389">
      <c r="C389" s="45"/>
    </row>
    <row r="390">
      <c r="C390" s="45"/>
    </row>
    <row r="391">
      <c r="C391" s="45"/>
    </row>
    <row r="392">
      <c r="C392" s="45"/>
    </row>
    <row r="393">
      <c r="C393" s="45"/>
    </row>
    <row r="394">
      <c r="C394" s="45"/>
    </row>
    <row r="395">
      <c r="C395" s="45"/>
    </row>
    <row r="396">
      <c r="C396" s="45"/>
    </row>
    <row r="397">
      <c r="C397" s="45"/>
    </row>
    <row r="398">
      <c r="C398" s="45"/>
    </row>
    <row r="399">
      <c r="C399" s="45"/>
    </row>
    <row r="400">
      <c r="C400" s="45"/>
    </row>
    <row r="401">
      <c r="C401" s="45"/>
    </row>
    <row r="402">
      <c r="C402" s="45"/>
    </row>
    <row r="403">
      <c r="C403" s="45"/>
    </row>
    <row r="404">
      <c r="C404" s="45"/>
    </row>
    <row r="405">
      <c r="C405" s="45"/>
    </row>
    <row r="406">
      <c r="C406" s="45"/>
    </row>
    <row r="407">
      <c r="C407" s="45"/>
    </row>
    <row r="408">
      <c r="C408" s="45"/>
    </row>
    <row r="409">
      <c r="C409" s="45"/>
    </row>
    <row r="410">
      <c r="C410" s="45"/>
    </row>
    <row r="411">
      <c r="C411" s="45"/>
    </row>
    <row r="412">
      <c r="C412" s="45"/>
    </row>
    <row r="413">
      <c r="C413" s="45"/>
    </row>
    <row r="414">
      <c r="C414" s="45"/>
    </row>
    <row r="415">
      <c r="C415" s="45"/>
    </row>
    <row r="416">
      <c r="C416" s="45"/>
    </row>
    <row r="417">
      <c r="C417" s="45"/>
    </row>
    <row r="418">
      <c r="C418" s="45"/>
    </row>
    <row r="419">
      <c r="C419" s="45"/>
    </row>
    <row r="420">
      <c r="C420" s="45"/>
    </row>
    <row r="421">
      <c r="C421" s="45"/>
    </row>
    <row r="422">
      <c r="C422" s="45"/>
    </row>
    <row r="423">
      <c r="C423" s="45"/>
    </row>
    <row r="424">
      <c r="C424" s="45"/>
    </row>
    <row r="425">
      <c r="C425" s="45"/>
    </row>
    <row r="426">
      <c r="C426" s="45"/>
    </row>
    <row r="427">
      <c r="C427" s="45"/>
    </row>
    <row r="428">
      <c r="C428" s="45"/>
    </row>
    <row r="429">
      <c r="C429" s="45"/>
    </row>
    <row r="430">
      <c r="C430" s="45"/>
    </row>
    <row r="431">
      <c r="C431" s="45"/>
    </row>
    <row r="432">
      <c r="C432" s="45"/>
    </row>
    <row r="433">
      <c r="C433" s="45"/>
    </row>
    <row r="434">
      <c r="C434" s="45"/>
    </row>
    <row r="435">
      <c r="C435" s="45"/>
    </row>
    <row r="436">
      <c r="C436" s="45"/>
    </row>
    <row r="437">
      <c r="C437" s="45"/>
    </row>
    <row r="438">
      <c r="C438" s="45"/>
    </row>
    <row r="439">
      <c r="C439" s="45"/>
    </row>
    <row r="440">
      <c r="C440" s="45"/>
    </row>
    <row r="441">
      <c r="C441" s="45"/>
    </row>
    <row r="442">
      <c r="C442" s="45"/>
    </row>
    <row r="443">
      <c r="C443" s="45"/>
    </row>
    <row r="444">
      <c r="C444" s="45"/>
    </row>
    <row r="445">
      <c r="C445" s="45"/>
    </row>
    <row r="446">
      <c r="C446" s="45"/>
    </row>
    <row r="447">
      <c r="C447" s="45"/>
    </row>
    <row r="448">
      <c r="C448" s="45"/>
    </row>
    <row r="449">
      <c r="C449" s="45"/>
    </row>
    <row r="450">
      <c r="C450" s="45"/>
    </row>
    <row r="451">
      <c r="C451" s="45"/>
    </row>
    <row r="452">
      <c r="C452" s="45"/>
    </row>
    <row r="453">
      <c r="C453" s="45"/>
    </row>
    <row r="454">
      <c r="C454" s="45"/>
    </row>
    <row r="455">
      <c r="C455" s="45"/>
    </row>
    <row r="456">
      <c r="C456" s="45"/>
    </row>
    <row r="457">
      <c r="C457" s="45"/>
    </row>
    <row r="458">
      <c r="C458" s="45"/>
    </row>
    <row r="459">
      <c r="C459" s="45"/>
    </row>
    <row r="460">
      <c r="C460" s="45"/>
    </row>
    <row r="461">
      <c r="C461" s="45"/>
    </row>
    <row r="462">
      <c r="C462" s="45"/>
    </row>
    <row r="463">
      <c r="C463" s="45"/>
    </row>
    <row r="464">
      <c r="C464" s="45"/>
    </row>
    <row r="465">
      <c r="C465" s="45"/>
    </row>
    <row r="466">
      <c r="C466" s="45"/>
    </row>
    <row r="467">
      <c r="C467" s="45"/>
    </row>
    <row r="468">
      <c r="C468" s="45"/>
    </row>
    <row r="469">
      <c r="C469" s="45"/>
    </row>
    <row r="470">
      <c r="C470" s="45"/>
    </row>
    <row r="471">
      <c r="C471" s="45"/>
    </row>
    <row r="472">
      <c r="C472" s="45"/>
    </row>
    <row r="473">
      <c r="C473" s="45"/>
    </row>
    <row r="474">
      <c r="C474" s="45"/>
    </row>
    <row r="475">
      <c r="C475" s="45"/>
    </row>
    <row r="476">
      <c r="C476" s="45"/>
    </row>
    <row r="477">
      <c r="C477" s="45"/>
    </row>
    <row r="478">
      <c r="C478" s="45"/>
    </row>
    <row r="479">
      <c r="C479" s="45"/>
    </row>
    <row r="480">
      <c r="C480" s="45"/>
    </row>
    <row r="481">
      <c r="C481" s="45"/>
    </row>
    <row r="482">
      <c r="C482" s="45"/>
    </row>
    <row r="483">
      <c r="C483" s="45"/>
    </row>
    <row r="484">
      <c r="C484" s="45"/>
    </row>
    <row r="485">
      <c r="C485" s="45"/>
    </row>
    <row r="486">
      <c r="C486" s="45"/>
    </row>
    <row r="487">
      <c r="C487" s="45"/>
    </row>
    <row r="488">
      <c r="C488" s="45"/>
    </row>
    <row r="489">
      <c r="C489" s="45"/>
    </row>
    <row r="490">
      <c r="C490" s="45"/>
    </row>
    <row r="491">
      <c r="C491" s="45"/>
    </row>
    <row r="492">
      <c r="C492" s="45"/>
    </row>
    <row r="493">
      <c r="C493" s="45"/>
    </row>
    <row r="494">
      <c r="C494" s="45"/>
    </row>
    <row r="495">
      <c r="C495" s="45"/>
    </row>
    <row r="496">
      <c r="C496" s="45"/>
    </row>
    <row r="497">
      <c r="C497" s="45"/>
    </row>
    <row r="498">
      <c r="C498" s="45"/>
    </row>
    <row r="499">
      <c r="C499" s="45"/>
    </row>
    <row r="500">
      <c r="C500" s="45"/>
    </row>
    <row r="501">
      <c r="C501" s="45"/>
    </row>
    <row r="502">
      <c r="C502" s="45"/>
    </row>
    <row r="503">
      <c r="C503" s="45"/>
    </row>
    <row r="504">
      <c r="C504" s="45"/>
    </row>
    <row r="505">
      <c r="C505" s="45"/>
    </row>
    <row r="506">
      <c r="C506" s="45"/>
    </row>
    <row r="507">
      <c r="C507" s="45"/>
    </row>
    <row r="508">
      <c r="C508" s="45"/>
    </row>
    <row r="509">
      <c r="C509" s="45"/>
    </row>
    <row r="510">
      <c r="C510" s="45"/>
    </row>
    <row r="511">
      <c r="C511" s="45"/>
    </row>
    <row r="512">
      <c r="C512" s="45"/>
    </row>
    <row r="513">
      <c r="C513" s="45"/>
    </row>
    <row r="514">
      <c r="C514" s="45"/>
    </row>
    <row r="515">
      <c r="C515" s="45"/>
    </row>
    <row r="516">
      <c r="C516" s="45"/>
    </row>
    <row r="517">
      <c r="C517" s="45"/>
    </row>
    <row r="518">
      <c r="C518" s="45"/>
    </row>
    <row r="519">
      <c r="C519" s="45"/>
    </row>
    <row r="520">
      <c r="C520" s="45"/>
    </row>
    <row r="521">
      <c r="C521" s="45"/>
    </row>
    <row r="522">
      <c r="C522" s="45"/>
    </row>
    <row r="523">
      <c r="C523" s="45"/>
    </row>
    <row r="524">
      <c r="C524" s="45"/>
    </row>
    <row r="525">
      <c r="C525" s="45"/>
    </row>
    <row r="526">
      <c r="C526" s="45"/>
    </row>
    <row r="527">
      <c r="C527" s="45"/>
    </row>
    <row r="528">
      <c r="C528" s="45"/>
    </row>
    <row r="529">
      <c r="C529" s="45"/>
    </row>
    <row r="530">
      <c r="C530" s="45"/>
    </row>
    <row r="531">
      <c r="C531" s="45"/>
    </row>
    <row r="532">
      <c r="C532" s="45"/>
    </row>
    <row r="533">
      <c r="C533" s="45"/>
    </row>
    <row r="534">
      <c r="C534" s="45"/>
    </row>
    <row r="535">
      <c r="C535" s="45"/>
    </row>
    <row r="536">
      <c r="C536" s="45"/>
    </row>
    <row r="537">
      <c r="C537" s="45"/>
    </row>
    <row r="538">
      <c r="C538" s="45"/>
    </row>
    <row r="539">
      <c r="C539" s="45"/>
    </row>
    <row r="540">
      <c r="C540" s="45"/>
    </row>
    <row r="541">
      <c r="C541" s="45"/>
    </row>
    <row r="542">
      <c r="C542" s="45"/>
    </row>
    <row r="543">
      <c r="C543" s="45"/>
    </row>
    <row r="544">
      <c r="C544" s="45"/>
    </row>
    <row r="545">
      <c r="C545" s="45"/>
    </row>
    <row r="546">
      <c r="C546" s="45"/>
    </row>
    <row r="547">
      <c r="C547" s="45"/>
    </row>
    <row r="548">
      <c r="C548" s="45"/>
    </row>
    <row r="549">
      <c r="C549" s="45"/>
    </row>
    <row r="550">
      <c r="C550" s="45"/>
    </row>
    <row r="551">
      <c r="C551" s="45"/>
    </row>
    <row r="552">
      <c r="C552" s="45"/>
    </row>
    <row r="553">
      <c r="C553" s="45"/>
    </row>
    <row r="554">
      <c r="C554" s="45"/>
    </row>
    <row r="555">
      <c r="C555" s="45"/>
    </row>
    <row r="556">
      <c r="C556" s="45"/>
    </row>
    <row r="557">
      <c r="C557" s="45"/>
    </row>
    <row r="558">
      <c r="C558" s="45"/>
    </row>
    <row r="559">
      <c r="C559" s="45"/>
    </row>
    <row r="560">
      <c r="C560" s="45"/>
    </row>
    <row r="561">
      <c r="C561" s="45"/>
    </row>
    <row r="562">
      <c r="C562" s="45"/>
    </row>
    <row r="563">
      <c r="C563" s="45"/>
    </row>
    <row r="564">
      <c r="C564" s="45"/>
    </row>
    <row r="565">
      <c r="C565" s="45"/>
    </row>
    <row r="566">
      <c r="C566" s="45"/>
    </row>
    <row r="567">
      <c r="C567" s="45"/>
    </row>
    <row r="568">
      <c r="C568" s="45"/>
    </row>
    <row r="569">
      <c r="C569" s="45"/>
    </row>
    <row r="570">
      <c r="C570" s="45"/>
    </row>
    <row r="571">
      <c r="C571" s="45"/>
    </row>
    <row r="572">
      <c r="C572" s="45"/>
    </row>
    <row r="573">
      <c r="C573" s="45"/>
    </row>
    <row r="574">
      <c r="C574" s="45"/>
    </row>
    <row r="575">
      <c r="C575" s="45"/>
    </row>
    <row r="576">
      <c r="C576" s="45"/>
    </row>
    <row r="577">
      <c r="C577" s="45"/>
    </row>
    <row r="578">
      <c r="C578" s="45"/>
    </row>
    <row r="579">
      <c r="C579" s="45"/>
    </row>
    <row r="580">
      <c r="C580" s="45"/>
    </row>
    <row r="581">
      <c r="C581" s="45"/>
    </row>
    <row r="582">
      <c r="C582" s="45"/>
    </row>
    <row r="583">
      <c r="C583" s="45"/>
    </row>
    <row r="584">
      <c r="C584" s="45"/>
    </row>
    <row r="585">
      <c r="C585" s="45"/>
    </row>
    <row r="586">
      <c r="C586" s="45"/>
    </row>
    <row r="587">
      <c r="C587" s="45"/>
    </row>
    <row r="588">
      <c r="C588" s="45"/>
    </row>
    <row r="589">
      <c r="C589" s="45"/>
    </row>
    <row r="590">
      <c r="C590" s="45"/>
    </row>
    <row r="591">
      <c r="C591" s="45"/>
    </row>
    <row r="592">
      <c r="C592" s="45"/>
    </row>
    <row r="593">
      <c r="C593" s="45"/>
    </row>
    <row r="594">
      <c r="C594" s="45"/>
    </row>
    <row r="595">
      <c r="C595" s="45"/>
    </row>
    <row r="596">
      <c r="C596" s="45"/>
    </row>
    <row r="597">
      <c r="C597" s="45"/>
    </row>
    <row r="598">
      <c r="C598" s="45"/>
    </row>
    <row r="599">
      <c r="C599" s="45"/>
    </row>
    <row r="600">
      <c r="C600" s="45"/>
    </row>
    <row r="601">
      <c r="C601" s="45"/>
    </row>
    <row r="602">
      <c r="C602" s="45"/>
    </row>
    <row r="603">
      <c r="C603" s="45"/>
    </row>
    <row r="604">
      <c r="C604" s="45"/>
    </row>
    <row r="605">
      <c r="C605" s="45"/>
    </row>
    <row r="606">
      <c r="C606" s="45"/>
    </row>
    <row r="607">
      <c r="C607" s="45"/>
    </row>
    <row r="608">
      <c r="C608" s="45"/>
    </row>
    <row r="609">
      <c r="C609" s="45"/>
    </row>
    <row r="610">
      <c r="C610" s="45"/>
    </row>
    <row r="611">
      <c r="C611" s="45"/>
    </row>
    <row r="612">
      <c r="C612" s="45"/>
    </row>
    <row r="613">
      <c r="C613" s="45"/>
    </row>
    <row r="614">
      <c r="C614" s="45"/>
    </row>
    <row r="615">
      <c r="C615" s="45"/>
    </row>
    <row r="616">
      <c r="C616" s="45"/>
    </row>
    <row r="617">
      <c r="C617" s="45"/>
    </row>
    <row r="618">
      <c r="C618" s="45"/>
    </row>
    <row r="619">
      <c r="C619" s="45"/>
    </row>
    <row r="620">
      <c r="C620" s="45"/>
    </row>
    <row r="621">
      <c r="C621" s="45"/>
    </row>
    <row r="622">
      <c r="C622" s="45"/>
    </row>
    <row r="623">
      <c r="C623" s="45"/>
    </row>
    <row r="624">
      <c r="C624" s="45"/>
    </row>
    <row r="625">
      <c r="C625" s="45"/>
    </row>
    <row r="626">
      <c r="C626" s="45"/>
    </row>
    <row r="627">
      <c r="C627" s="45"/>
    </row>
    <row r="628">
      <c r="C628" s="45"/>
    </row>
    <row r="629">
      <c r="C629" s="45"/>
    </row>
    <row r="630">
      <c r="C630" s="45"/>
    </row>
    <row r="631">
      <c r="C631" s="45"/>
    </row>
    <row r="632">
      <c r="C632" s="45"/>
    </row>
    <row r="633">
      <c r="C633" s="45"/>
    </row>
    <row r="634">
      <c r="C634" s="45"/>
    </row>
    <row r="635">
      <c r="C635" s="45"/>
    </row>
    <row r="636">
      <c r="C636" s="45"/>
    </row>
    <row r="637">
      <c r="C637" s="45"/>
    </row>
    <row r="638">
      <c r="C638" s="45"/>
    </row>
    <row r="639">
      <c r="C639" s="45"/>
    </row>
    <row r="640">
      <c r="C640" s="45"/>
    </row>
    <row r="641">
      <c r="C641" s="45"/>
    </row>
    <row r="642">
      <c r="C642" s="45"/>
    </row>
    <row r="643">
      <c r="C643" s="45"/>
    </row>
    <row r="644">
      <c r="C644" s="45"/>
    </row>
    <row r="645">
      <c r="C645" s="45"/>
    </row>
    <row r="646">
      <c r="C646" s="45"/>
    </row>
    <row r="647">
      <c r="C647" s="45"/>
    </row>
    <row r="648">
      <c r="C648" s="45"/>
    </row>
    <row r="649">
      <c r="C649" s="45"/>
    </row>
    <row r="650">
      <c r="C650" s="45"/>
    </row>
    <row r="651">
      <c r="C651" s="45"/>
    </row>
    <row r="652">
      <c r="C652" s="45"/>
    </row>
    <row r="653">
      <c r="C653" s="45"/>
    </row>
    <row r="654">
      <c r="C654" s="45"/>
    </row>
    <row r="655">
      <c r="C655" s="45"/>
    </row>
    <row r="656">
      <c r="C656" s="45"/>
    </row>
    <row r="657">
      <c r="C657" s="45"/>
    </row>
    <row r="658">
      <c r="C658" s="45"/>
    </row>
    <row r="659">
      <c r="C659" s="45"/>
    </row>
    <row r="660">
      <c r="C660" s="45"/>
    </row>
    <row r="661">
      <c r="C661" s="45"/>
    </row>
    <row r="662">
      <c r="C662" s="45"/>
    </row>
    <row r="663">
      <c r="C663" s="45"/>
    </row>
    <row r="664">
      <c r="C664" s="45"/>
    </row>
    <row r="665">
      <c r="C665" s="45"/>
    </row>
    <row r="666">
      <c r="C666" s="45"/>
    </row>
    <row r="667">
      <c r="C667" s="45"/>
    </row>
    <row r="668">
      <c r="C668" s="45"/>
    </row>
    <row r="669">
      <c r="C669" s="45"/>
    </row>
    <row r="670">
      <c r="C670" s="45"/>
    </row>
    <row r="671">
      <c r="C671" s="45"/>
    </row>
    <row r="672">
      <c r="C672" s="45"/>
    </row>
    <row r="673">
      <c r="C673" s="45"/>
    </row>
    <row r="674">
      <c r="C674" s="45"/>
    </row>
    <row r="675">
      <c r="C675" s="45"/>
    </row>
    <row r="676">
      <c r="C676" s="45"/>
    </row>
    <row r="677">
      <c r="C677" s="45"/>
    </row>
    <row r="678">
      <c r="C678" s="45"/>
    </row>
    <row r="679">
      <c r="C679" s="45"/>
    </row>
    <row r="680">
      <c r="C680" s="45"/>
    </row>
    <row r="681">
      <c r="C681" s="45"/>
    </row>
    <row r="682">
      <c r="C682" s="45"/>
    </row>
    <row r="683">
      <c r="C683" s="45"/>
    </row>
    <row r="684">
      <c r="C684" s="45"/>
    </row>
    <row r="685">
      <c r="C685" s="45"/>
    </row>
    <row r="686">
      <c r="C686" s="45"/>
    </row>
    <row r="687">
      <c r="C687" s="45"/>
    </row>
    <row r="688">
      <c r="C688" s="45"/>
    </row>
    <row r="689">
      <c r="C689" s="45"/>
    </row>
    <row r="690">
      <c r="C690" s="45"/>
    </row>
    <row r="691">
      <c r="C691" s="45"/>
    </row>
    <row r="692">
      <c r="C692" s="45"/>
    </row>
    <row r="693">
      <c r="C693" s="45"/>
    </row>
    <row r="694">
      <c r="C694" s="45"/>
    </row>
    <row r="695">
      <c r="C695" s="45"/>
    </row>
    <row r="696">
      <c r="C696" s="45"/>
    </row>
    <row r="697">
      <c r="C697" s="45"/>
    </row>
    <row r="698">
      <c r="C698" s="45"/>
    </row>
    <row r="699">
      <c r="C699" s="45"/>
    </row>
    <row r="700">
      <c r="C700" s="45"/>
    </row>
    <row r="701">
      <c r="C701" s="45"/>
    </row>
    <row r="702">
      <c r="C702" s="45"/>
    </row>
    <row r="703">
      <c r="C703" s="45"/>
    </row>
    <row r="704">
      <c r="C704" s="45"/>
    </row>
    <row r="705">
      <c r="C705" s="45"/>
    </row>
    <row r="706">
      <c r="C706" s="45"/>
    </row>
    <row r="707">
      <c r="C707" s="45"/>
    </row>
    <row r="708">
      <c r="C708" s="45"/>
    </row>
    <row r="709">
      <c r="C709" s="45"/>
    </row>
    <row r="710">
      <c r="C710" s="45"/>
    </row>
    <row r="711">
      <c r="C711" s="45"/>
    </row>
    <row r="712">
      <c r="C712" s="45"/>
    </row>
    <row r="713">
      <c r="C713" s="45"/>
    </row>
    <row r="714">
      <c r="C714" s="45"/>
    </row>
    <row r="715">
      <c r="C715" s="45"/>
    </row>
    <row r="716">
      <c r="C716" s="45"/>
    </row>
    <row r="717">
      <c r="C717" s="45"/>
    </row>
    <row r="718">
      <c r="C718" s="45"/>
    </row>
    <row r="719">
      <c r="C719" s="45"/>
    </row>
    <row r="720">
      <c r="C720" s="45"/>
    </row>
    <row r="721">
      <c r="C721" s="45"/>
    </row>
    <row r="722">
      <c r="C722" s="45"/>
    </row>
    <row r="723">
      <c r="C723" s="45"/>
    </row>
    <row r="724">
      <c r="C724" s="45"/>
    </row>
    <row r="725">
      <c r="C725" s="45"/>
    </row>
    <row r="726">
      <c r="C726" s="45"/>
    </row>
    <row r="727">
      <c r="C727" s="45"/>
    </row>
    <row r="728">
      <c r="C728" s="45"/>
    </row>
    <row r="729">
      <c r="C729" s="45"/>
    </row>
    <row r="730">
      <c r="C730" s="45"/>
    </row>
    <row r="731">
      <c r="C731" s="45"/>
    </row>
    <row r="732">
      <c r="C732" s="45"/>
    </row>
    <row r="733">
      <c r="C733" s="45"/>
    </row>
    <row r="734">
      <c r="C734" s="45"/>
    </row>
    <row r="735">
      <c r="C735" s="45"/>
    </row>
    <row r="736">
      <c r="C736" s="45"/>
    </row>
    <row r="737">
      <c r="C737" s="45"/>
    </row>
    <row r="738">
      <c r="C738" s="45"/>
    </row>
    <row r="739">
      <c r="C739" s="45"/>
    </row>
    <row r="740">
      <c r="C740" s="45"/>
    </row>
    <row r="741">
      <c r="C741" s="45"/>
    </row>
    <row r="742">
      <c r="C742" s="45"/>
    </row>
    <row r="743">
      <c r="C743" s="45"/>
    </row>
    <row r="744">
      <c r="C744" s="45"/>
    </row>
    <row r="745">
      <c r="C745" s="45"/>
    </row>
    <row r="746">
      <c r="C746" s="45"/>
    </row>
    <row r="747">
      <c r="C747" s="45"/>
    </row>
    <row r="748">
      <c r="C748" s="45"/>
    </row>
    <row r="749">
      <c r="C749" s="45"/>
    </row>
    <row r="750">
      <c r="C750" s="45"/>
    </row>
    <row r="751">
      <c r="C751" s="45"/>
    </row>
    <row r="752">
      <c r="C752" s="45"/>
    </row>
    <row r="753">
      <c r="C753" s="45"/>
    </row>
    <row r="754">
      <c r="C754" s="45"/>
    </row>
    <row r="755">
      <c r="C755" s="45"/>
    </row>
    <row r="756">
      <c r="C756" s="45"/>
    </row>
    <row r="757">
      <c r="C757" s="45"/>
    </row>
    <row r="758">
      <c r="C758" s="45"/>
    </row>
    <row r="759">
      <c r="C759" s="45"/>
    </row>
    <row r="760">
      <c r="C760" s="45"/>
    </row>
    <row r="761">
      <c r="C761" s="45"/>
    </row>
    <row r="762">
      <c r="C762" s="45"/>
    </row>
    <row r="763">
      <c r="C763" s="45"/>
    </row>
    <row r="764">
      <c r="C764" s="45"/>
    </row>
    <row r="765">
      <c r="C765" s="45"/>
    </row>
    <row r="766">
      <c r="C766" s="45"/>
    </row>
    <row r="767">
      <c r="C767" s="45"/>
    </row>
    <row r="768">
      <c r="C768" s="45"/>
    </row>
    <row r="769">
      <c r="C769" s="45"/>
    </row>
    <row r="770">
      <c r="C770" s="45"/>
    </row>
    <row r="771">
      <c r="C771" s="45"/>
    </row>
    <row r="772">
      <c r="C772" s="45"/>
    </row>
    <row r="773">
      <c r="C773" s="45"/>
    </row>
    <row r="774">
      <c r="C774" s="45"/>
    </row>
    <row r="775">
      <c r="C775" s="45"/>
    </row>
    <row r="776">
      <c r="C776" s="45"/>
    </row>
    <row r="777">
      <c r="C777" s="45"/>
    </row>
    <row r="778">
      <c r="C778" s="45"/>
    </row>
    <row r="779">
      <c r="C779" s="45"/>
    </row>
    <row r="780">
      <c r="C780" s="45"/>
    </row>
    <row r="781">
      <c r="C781" s="45"/>
    </row>
    <row r="782">
      <c r="C782" s="45"/>
    </row>
    <row r="783">
      <c r="C783" s="45"/>
    </row>
    <row r="784">
      <c r="C784" s="45"/>
    </row>
    <row r="785">
      <c r="C785" s="45"/>
    </row>
    <row r="786">
      <c r="C786" s="45"/>
    </row>
    <row r="787">
      <c r="C787" s="45"/>
    </row>
    <row r="788">
      <c r="C788" s="45"/>
    </row>
    <row r="789">
      <c r="C789" s="45"/>
    </row>
    <row r="790">
      <c r="C790" s="45"/>
    </row>
    <row r="791">
      <c r="C791" s="45"/>
    </row>
    <row r="792">
      <c r="C792" s="45"/>
    </row>
    <row r="793">
      <c r="C793" s="45"/>
    </row>
    <row r="794">
      <c r="C794" s="45"/>
    </row>
    <row r="795">
      <c r="C795" s="45"/>
    </row>
    <row r="796">
      <c r="C796" s="45"/>
    </row>
    <row r="797">
      <c r="C797" s="45"/>
    </row>
    <row r="798">
      <c r="C798" s="45"/>
    </row>
    <row r="799">
      <c r="C799" s="45"/>
    </row>
    <row r="800">
      <c r="C800" s="45"/>
    </row>
    <row r="801">
      <c r="C801" s="45"/>
    </row>
    <row r="802">
      <c r="C802" s="45"/>
    </row>
    <row r="803">
      <c r="C803" s="45"/>
    </row>
    <row r="804">
      <c r="C804" s="45"/>
    </row>
    <row r="805">
      <c r="C805" s="45"/>
    </row>
    <row r="806">
      <c r="C806" s="45"/>
    </row>
    <row r="807">
      <c r="C807" s="45"/>
    </row>
    <row r="808">
      <c r="C808" s="45"/>
    </row>
    <row r="809">
      <c r="C809" s="45"/>
    </row>
    <row r="810">
      <c r="C810" s="45"/>
    </row>
    <row r="811">
      <c r="C811" s="45"/>
    </row>
    <row r="812">
      <c r="C812" s="45"/>
    </row>
    <row r="813">
      <c r="C813" s="45"/>
    </row>
    <row r="814">
      <c r="C814" s="45"/>
    </row>
    <row r="815">
      <c r="C815" s="45"/>
    </row>
    <row r="816">
      <c r="C816" s="45"/>
    </row>
    <row r="817">
      <c r="C817" s="45"/>
    </row>
    <row r="818">
      <c r="C818" s="45"/>
    </row>
    <row r="819">
      <c r="C819" s="45"/>
    </row>
    <row r="820">
      <c r="C820" s="45"/>
    </row>
    <row r="821">
      <c r="C821" s="45"/>
    </row>
    <row r="822">
      <c r="C822" s="45"/>
    </row>
    <row r="823">
      <c r="C823" s="45"/>
    </row>
    <row r="824">
      <c r="C824" s="45"/>
    </row>
    <row r="825">
      <c r="C825" s="45"/>
    </row>
    <row r="826">
      <c r="C826" s="45"/>
    </row>
    <row r="827">
      <c r="C827" s="45"/>
    </row>
    <row r="828">
      <c r="C828" s="45"/>
    </row>
    <row r="829">
      <c r="C829" s="45"/>
    </row>
    <row r="830">
      <c r="C830" s="45"/>
    </row>
    <row r="831">
      <c r="C831" s="45"/>
    </row>
    <row r="832">
      <c r="C832" s="45"/>
    </row>
    <row r="833">
      <c r="C833" s="45"/>
    </row>
    <row r="834">
      <c r="C834" s="45"/>
    </row>
    <row r="835">
      <c r="C835" s="45"/>
    </row>
    <row r="836">
      <c r="C836" s="45"/>
    </row>
    <row r="837">
      <c r="C837" s="45"/>
    </row>
    <row r="838">
      <c r="C838" s="45"/>
    </row>
    <row r="839">
      <c r="C839" s="45"/>
    </row>
    <row r="840">
      <c r="C840" s="45"/>
    </row>
    <row r="841">
      <c r="C841" s="45"/>
    </row>
    <row r="842">
      <c r="C842" s="45"/>
    </row>
    <row r="843">
      <c r="C843" s="45"/>
    </row>
    <row r="844">
      <c r="C844" s="45"/>
    </row>
    <row r="845">
      <c r="C845" s="45"/>
    </row>
    <row r="846">
      <c r="C846" s="45"/>
    </row>
    <row r="847">
      <c r="C847" s="45"/>
    </row>
    <row r="848">
      <c r="C848" s="45"/>
    </row>
    <row r="849">
      <c r="C849" s="45"/>
    </row>
    <row r="850">
      <c r="C850" s="45"/>
    </row>
    <row r="851">
      <c r="C851" s="45"/>
    </row>
    <row r="852">
      <c r="C852" s="45"/>
    </row>
    <row r="853">
      <c r="C853" s="45"/>
    </row>
    <row r="854">
      <c r="C854" s="45"/>
    </row>
    <row r="855">
      <c r="C855" s="45"/>
    </row>
    <row r="856">
      <c r="C856" s="45"/>
    </row>
    <row r="857">
      <c r="C857" s="45"/>
    </row>
    <row r="858">
      <c r="C858" s="45"/>
    </row>
    <row r="859">
      <c r="C859" s="45"/>
    </row>
    <row r="860">
      <c r="C860" s="45"/>
    </row>
    <row r="861">
      <c r="C861" s="45"/>
    </row>
    <row r="862">
      <c r="C862" s="45"/>
    </row>
    <row r="863">
      <c r="C863" s="45"/>
    </row>
    <row r="864">
      <c r="C864" s="45"/>
    </row>
    <row r="865">
      <c r="C865" s="45"/>
    </row>
    <row r="866">
      <c r="C866" s="45"/>
    </row>
    <row r="867">
      <c r="C867" s="45"/>
    </row>
    <row r="868">
      <c r="C868" s="45"/>
    </row>
    <row r="869">
      <c r="C869" s="45"/>
    </row>
    <row r="870">
      <c r="C870" s="45"/>
    </row>
    <row r="871">
      <c r="C871" s="45"/>
    </row>
    <row r="872">
      <c r="C872" s="45"/>
    </row>
    <row r="873">
      <c r="C873" s="45"/>
    </row>
    <row r="874">
      <c r="C874" s="45"/>
    </row>
    <row r="875">
      <c r="C875" s="45"/>
    </row>
    <row r="876">
      <c r="C876" s="45"/>
    </row>
    <row r="877">
      <c r="C877" s="45"/>
    </row>
    <row r="878">
      <c r="C878" s="45"/>
    </row>
    <row r="879">
      <c r="C879" s="45"/>
    </row>
    <row r="880">
      <c r="C880" s="45"/>
    </row>
    <row r="881">
      <c r="C881" s="45"/>
    </row>
    <row r="882">
      <c r="C882" s="45"/>
    </row>
    <row r="883">
      <c r="C883" s="45"/>
    </row>
    <row r="884">
      <c r="C884" s="45"/>
    </row>
    <row r="885">
      <c r="C885" s="45"/>
    </row>
    <row r="886">
      <c r="C886" s="45"/>
    </row>
    <row r="887">
      <c r="C887" s="45"/>
    </row>
    <row r="888">
      <c r="C888" s="45"/>
    </row>
    <row r="889">
      <c r="C889" s="45"/>
    </row>
    <row r="890">
      <c r="C890" s="45"/>
    </row>
    <row r="891">
      <c r="C891" s="45"/>
    </row>
    <row r="892">
      <c r="C892" s="45"/>
    </row>
    <row r="893">
      <c r="C893" s="45"/>
    </row>
    <row r="894">
      <c r="C894" s="45"/>
    </row>
    <row r="895">
      <c r="C895" s="45"/>
    </row>
    <row r="896">
      <c r="C896" s="45"/>
    </row>
    <row r="897">
      <c r="C897" s="45"/>
    </row>
    <row r="898">
      <c r="C898" s="45"/>
    </row>
    <row r="899">
      <c r="C899" s="45"/>
    </row>
    <row r="900">
      <c r="C900" s="45"/>
    </row>
    <row r="901">
      <c r="C901" s="45"/>
    </row>
    <row r="902">
      <c r="C902" s="45"/>
    </row>
    <row r="903">
      <c r="C903" s="45"/>
    </row>
    <row r="904">
      <c r="C904" s="45"/>
    </row>
    <row r="905">
      <c r="C905" s="45"/>
    </row>
    <row r="906">
      <c r="C906" s="45"/>
    </row>
    <row r="907">
      <c r="C907" s="45"/>
    </row>
    <row r="908">
      <c r="C908" s="45"/>
    </row>
    <row r="909">
      <c r="C909" s="45"/>
    </row>
    <row r="910">
      <c r="C910" s="45"/>
    </row>
    <row r="911">
      <c r="C911" s="45"/>
    </row>
    <row r="912">
      <c r="C912" s="45"/>
    </row>
    <row r="913">
      <c r="C913" s="45"/>
    </row>
    <row r="914">
      <c r="C914" s="45"/>
    </row>
    <row r="915">
      <c r="C915" s="45"/>
    </row>
    <row r="916">
      <c r="C916" s="45"/>
    </row>
    <row r="917">
      <c r="C917" s="45"/>
    </row>
    <row r="918">
      <c r="C918" s="45"/>
    </row>
    <row r="919">
      <c r="C919" s="45"/>
    </row>
    <row r="920">
      <c r="C920" s="45"/>
    </row>
    <row r="921">
      <c r="C921" s="45"/>
    </row>
    <row r="922">
      <c r="C922" s="45"/>
    </row>
    <row r="923">
      <c r="C923" s="45"/>
    </row>
    <row r="924">
      <c r="C924" s="45"/>
    </row>
    <row r="925">
      <c r="C925" s="45"/>
    </row>
    <row r="926">
      <c r="C926" s="45"/>
    </row>
    <row r="927">
      <c r="C927" s="45"/>
    </row>
    <row r="928">
      <c r="C928" s="45"/>
    </row>
    <row r="929">
      <c r="C929" s="45"/>
    </row>
    <row r="930">
      <c r="C930" s="45"/>
    </row>
    <row r="931">
      <c r="C931" s="45"/>
    </row>
    <row r="932">
      <c r="C932" s="45"/>
    </row>
    <row r="933">
      <c r="C933" s="45"/>
    </row>
    <row r="934">
      <c r="C934" s="45"/>
    </row>
    <row r="935">
      <c r="C935" s="45"/>
    </row>
    <row r="936">
      <c r="C936" s="45"/>
    </row>
    <row r="937">
      <c r="C937" s="45"/>
    </row>
    <row r="938">
      <c r="C938" s="45"/>
    </row>
    <row r="939">
      <c r="C939" s="45"/>
    </row>
    <row r="940">
      <c r="C940" s="45"/>
    </row>
    <row r="941">
      <c r="C941" s="45"/>
    </row>
    <row r="942">
      <c r="C942" s="45"/>
    </row>
    <row r="943">
      <c r="C943" s="45"/>
    </row>
    <row r="944">
      <c r="C944" s="45"/>
    </row>
    <row r="945">
      <c r="C945" s="45"/>
    </row>
    <row r="946">
      <c r="C946" s="45"/>
    </row>
    <row r="947">
      <c r="C947" s="45"/>
    </row>
    <row r="948">
      <c r="C948" s="45"/>
    </row>
    <row r="949">
      <c r="C949" s="45"/>
    </row>
    <row r="950">
      <c r="C950" s="45"/>
    </row>
    <row r="951">
      <c r="C951" s="45"/>
    </row>
    <row r="952">
      <c r="C952" s="45"/>
    </row>
    <row r="953">
      <c r="C953" s="45"/>
    </row>
    <row r="954">
      <c r="C954" s="45"/>
    </row>
    <row r="955">
      <c r="C955" s="45"/>
    </row>
    <row r="956">
      <c r="C956" s="45"/>
    </row>
    <row r="957">
      <c r="C957" s="45"/>
    </row>
    <row r="958">
      <c r="C958" s="45"/>
    </row>
    <row r="959">
      <c r="C959" s="45"/>
    </row>
    <row r="960">
      <c r="C960" s="45"/>
    </row>
    <row r="961">
      <c r="C961" s="45"/>
    </row>
    <row r="962">
      <c r="C962" s="45"/>
    </row>
    <row r="963">
      <c r="C963" s="45"/>
    </row>
    <row r="964">
      <c r="C964" s="45"/>
    </row>
    <row r="965">
      <c r="C965" s="45"/>
    </row>
    <row r="966">
      <c r="C966" s="45"/>
    </row>
    <row r="967">
      <c r="C967" s="45"/>
    </row>
    <row r="968">
      <c r="C968" s="45"/>
    </row>
    <row r="969">
      <c r="C969" s="45"/>
    </row>
    <row r="970">
      <c r="C970" s="45"/>
    </row>
    <row r="971">
      <c r="C971" s="45"/>
    </row>
    <row r="972">
      <c r="C972" s="45"/>
    </row>
    <row r="973">
      <c r="C973" s="45"/>
    </row>
    <row r="974">
      <c r="C974" s="45"/>
    </row>
    <row r="975">
      <c r="C975" s="45"/>
    </row>
    <row r="976">
      <c r="C976" s="45"/>
    </row>
    <row r="977">
      <c r="C977" s="45"/>
    </row>
    <row r="978">
      <c r="C978" s="45"/>
    </row>
    <row r="979">
      <c r="C979" s="45"/>
    </row>
    <row r="980">
      <c r="C980" s="45"/>
    </row>
    <row r="981">
      <c r="C981" s="45"/>
    </row>
    <row r="982">
      <c r="C982" s="45"/>
    </row>
    <row r="983">
      <c r="C983" s="45"/>
    </row>
    <row r="984">
      <c r="C984" s="45"/>
    </row>
    <row r="985">
      <c r="C985" s="45"/>
    </row>
    <row r="986">
      <c r="C986" s="45"/>
    </row>
    <row r="987">
      <c r="C987" s="45"/>
    </row>
    <row r="988">
      <c r="C988" s="45"/>
    </row>
    <row r="989">
      <c r="C989" s="45"/>
    </row>
    <row r="990">
      <c r="C990" s="45"/>
    </row>
    <row r="991">
      <c r="C991" s="45"/>
    </row>
    <row r="992">
      <c r="C992" s="45"/>
    </row>
    <row r="993">
      <c r="C993" s="45"/>
    </row>
    <row r="994">
      <c r="C994" s="45"/>
    </row>
    <row r="995">
      <c r="C995" s="45"/>
    </row>
    <row r="996">
      <c r="C996" s="45"/>
    </row>
    <row r="997">
      <c r="C997" s="45"/>
    </row>
    <row r="998">
      <c r="C998" s="45"/>
    </row>
    <row r="999">
      <c r="C999" s="45"/>
    </row>
    <row r="1000">
      <c r="C1000" s="45"/>
    </row>
    <row r="1001">
      <c r="C1001" s="45"/>
    </row>
    <row r="1002">
      <c r="C1002" s="45"/>
    </row>
    <row r="1003">
      <c r="C1003" s="45"/>
    </row>
    <row r="1004">
      <c r="C1004" s="45"/>
    </row>
    <row r="1005">
      <c r="C1005" s="45"/>
    </row>
    <row r="1006">
      <c r="C1006" s="45"/>
    </row>
    <row r="1007">
      <c r="C1007" s="45"/>
    </row>
    <row r="1008">
      <c r="C1008" s="45"/>
    </row>
    <row r="1009">
      <c r="C1009" s="45"/>
    </row>
    <row r="1010">
      <c r="C1010" s="45"/>
    </row>
    <row r="1011">
      <c r="C1011" s="45"/>
    </row>
    <row r="1012">
      <c r="C1012" s="45"/>
    </row>
    <row r="1013">
      <c r="C1013" s="45"/>
    </row>
    <row r="1014">
      <c r="C1014" s="45"/>
    </row>
    <row r="1015">
      <c r="C1015" s="45"/>
    </row>
    <row r="1016">
      <c r="C1016" s="45"/>
    </row>
    <row r="1017">
      <c r="C1017" s="45"/>
    </row>
    <row r="1018">
      <c r="C1018" s="45"/>
    </row>
    <row r="1019">
      <c r="C1019" s="45"/>
    </row>
    <row r="1020">
      <c r="C1020" s="45"/>
    </row>
    <row r="1021">
      <c r="C1021" s="45"/>
    </row>
    <row r="1022">
      <c r="C1022" s="45"/>
    </row>
    <row r="1023">
      <c r="C1023" s="45"/>
    </row>
    <row r="1024">
      <c r="C1024" s="45"/>
    </row>
    <row r="1025">
      <c r="C1025" s="45"/>
    </row>
    <row r="1026">
      <c r="C1026" s="45"/>
    </row>
    <row r="1027">
      <c r="C1027" s="45"/>
    </row>
    <row r="1028">
      <c r="C1028" s="45"/>
    </row>
    <row r="1029">
      <c r="C1029" s="45"/>
    </row>
    <row r="1030">
      <c r="C1030" s="45"/>
    </row>
    <row r="1031">
      <c r="C1031" s="45"/>
    </row>
    <row r="1032">
      <c r="C1032" s="45"/>
    </row>
    <row r="1033">
      <c r="C1033" s="45"/>
    </row>
    <row r="1034">
      <c r="C1034" s="45"/>
    </row>
    <row r="1035">
      <c r="C1035" s="45"/>
    </row>
    <row r="1036">
      <c r="C1036" s="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5" t="s">
        <v>152</v>
      </c>
      <c r="B1" s="15" t="s">
        <v>154</v>
      </c>
      <c r="C1" s="15" t="s">
        <v>254</v>
      </c>
    </row>
    <row r="2">
      <c r="A2" s="27" t="s">
        <v>184</v>
      </c>
      <c r="B2" s="4" t="s">
        <v>18</v>
      </c>
      <c r="C2" s="4" t="s">
        <v>257</v>
      </c>
    </row>
    <row r="3">
      <c r="A3" s="27" t="s">
        <v>136</v>
      </c>
      <c r="B3" s="4" t="s">
        <v>22</v>
      </c>
      <c r="C3" s="4" t="s">
        <v>257</v>
      </c>
    </row>
    <row r="4">
      <c r="A4" s="27" t="s">
        <v>139</v>
      </c>
      <c r="B4" s="4" t="s">
        <v>24</v>
      </c>
      <c r="C4" s="4" t="s">
        <v>257</v>
      </c>
    </row>
    <row r="5">
      <c r="A5" s="27" t="s">
        <v>165</v>
      </c>
      <c r="B5" s="4" t="s">
        <v>28</v>
      </c>
      <c r="C5" s="4" t="s">
        <v>257</v>
      </c>
    </row>
    <row r="6">
      <c r="A6" s="27" t="s">
        <v>164</v>
      </c>
      <c r="B6" s="4" t="s">
        <v>27</v>
      </c>
      <c r="C6" s="4" t="s">
        <v>257</v>
      </c>
    </row>
    <row r="7">
      <c r="A7" s="27" t="s">
        <v>156</v>
      </c>
      <c r="B7" s="4" t="s">
        <v>33</v>
      </c>
      <c r="C7" s="4" t="s">
        <v>257</v>
      </c>
    </row>
    <row r="8">
      <c r="A8" s="27" t="s">
        <v>169</v>
      </c>
      <c r="B8" s="4" t="s">
        <v>37</v>
      </c>
      <c r="C8" s="4" t="s">
        <v>257</v>
      </c>
    </row>
    <row r="9">
      <c r="A9" s="27" t="s">
        <v>171</v>
      </c>
      <c r="B9" s="4" t="s">
        <v>48</v>
      </c>
      <c r="C9" s="4" t="s">
        <v>259</v>
      </c>
    </row>
    <row r="10">
      <c r="A10" s="27" t="s">
        <v>173</v>
      </c>
      <c r="B10" s="4" t="s">
        <v>39</v>
      </c>
      <c r="C10" s="4" t="s">
        <v>257</v>
      </c>
    </row>
    <row r="11">
      <c r="A11" s="27" t="s">
        <v>175</v>
      </c>
      <c r="B11" s="4" t="s">
        <v>29</v>
      </c>
      <c r="C11" s="4" t="s">
        <v>257</v>
      </c>
    </row>
    <row r="12">
      <c r="A12" s="27" t="s">
        <v>182</v>
      </c>
      <c r="B12" s="4" t="s">
        <v>43</v>
      </c>
      <c r="C12" s="4" t="s">
        <v>257</v>
      </c>
    </row>
    <row r="13">
      <c r="A13" s="27" t="s">
        <v>187</v>
      </c>
      <c r="B13" s="4" t="s">
        <v>32</v>
      </c>
      <c r="C13" s="4" t="s">
        <v>259</v>
      </c>
    </row>
    <row r="14">
      <c r="A14" s="27" t="s">
        <v>188</v>
      </c>
      <c r="B14" s="4" t="s">
        <v>46</v>
      </c>
      <c r="C14" s="4" t="s">
        <v>259</v>
      </c>
    </row>
    <row r="15">
      <c r="A15" s="27" t="s">
        <v>191</v>
      </c>
      <c r="B15" s="4" t="s">
        <v>50</v>
      </c>
      <c r="C15" s="4" t="s">
        <v>259</v>
      </c>
    </row>
    <row r="16">
      <c r="A16" s="27" t="s">
        <v>193</v>
      </c>
      <c r="B16" s="4" t="s">
        <v>36</v>
      </c>
      <c r="C16" s="4" t="s">
        <v>259</v>
      </c>
    </row>
    <row r="17">
      <c r="A17" s="27" t="s">
        <v>194</v>
      </c>
      <c r="B17" s="4" t="s">
        <v>38</v>
      </c>
      <c r="C17" s="44" t="s">
        <v>259</v>
      </c>
    </row>
    <row r="18">
      <c r="A18" s="27" t="s">
        <v>196</v>
      </c>
      <c r="B18" s="4" t="s">
        <v>55</v>
      </c>
      <c r="C18" s="4" t="s">
        <v>259</v>
      </c>
    </row>
    <row r="19">
      <c r="A19" s="27" t="s">
        <v>198</v>
      </c>
      <c r="B19" s="4" t="s">
        <v>41</v>
      </c>
      <c r="C19" s="4" t="s">
        <v>257</v>
      </c>
    </row>
    <row r="20">
      <c r="A20" s="27" t="s">
        <v>197</v>
      </c>
      <c r="B20" s="4" t="s">
        <v>59</v>
      </c>
      <c r="C20" s="4" t="s">
        <v>259</v>
      </c>
    </row>
    <row r="21">
      <c r="A21" s="27" t="s">
        <v>201</v>
      </c>
      <c r="B21" s="4" t="s">
        <v>42</v>
      </c>
      <c r="C21" s="4" t="s">
        <v>259</v>
      </c>
    </row>
    <row r="22">
      <c r="A22" s="27" t="s">
        <v>202</v>
      </c>
      <c r="B22" s="4" t="s">
        <v>62</v>
      </c>
      <c r="C22" s="4" t="s">
        <v>259</v>
      </c>
    </row>
    <row r="23">
      <c r="A23" s="27" t="s">
        <v>205</v>
      </c>
      <c r="B23" s="4" t="s">
        <v>64</v>
      </c>
      <c r="C23" s="4" t="s">
        <v>259</v>
      </c>
    </row>
    <row r="24">
      <c r="A24" s="27" t="s">
        <v>208</v>
      </c>
      <c r="B24" s="4" t="s">
        <v>44</v>
      </c>
      <c r="C24" s="4" t="s">
        <v>259</v>
      </c>
    </row>
    <row r="25">
      <c r="A25" s="27" t="s">
        <v>210</v>
      </c>
      <c r="B25" s="4" t="s">
        <v>69</v>
      </c>
      <c r="C25" s="4" t="s">
        <v>259</v>
      </c>
    </row>
    <row r="26">
      <c r="A26" s="27" t="s">
        <v>216</v>
      </c>
      <c r="B26" s="4" t="s">
        <v>73</v>
      </c>
      <c r="C26" s="4" t="s">
        <v>259</v>
      </c>
    </row>
    <row r="27">
      <c r="A27" s="27" t="s">
        <v>213</v>
      </c>
      <c r="B27" s="4" t="s">
        <v>77</v>
      </c>
      <c r="C27" s="4" t="s">
        <v>259</v>
      </c>
    </row>
    <row r="28">
      <c r="A28" s="27" t="s">
        <v>215</v>
      </c>
      <c r="B28" s="4" t="s">
        <v>79</v>
      </c>
      <c r="C28" s="4" t="s">
        <v>259</v>
      </c>
    </row>
    <row r="29">
      <c r="A29" s="27" t="s">
        <v>261</v>
      </c>
      <c r="B29" s="4" t="s">
        <v>84</v>
      </c>
      <c r="C29" s="4" t="s">
        <v>259</v>
      </c>
    </row>
    <row r="30">
      <c r="A30" s="27" t="s">
        <v>218</v>
      </c>
      <c r="B30" s="4" t="s">
        <v>88</v>
      </c>
      <c r="C30" s="4" t="s">
        <v>259</v>
      </c>
    </row>
    <row r="31">
      <c r="A31" s="27" t="s">
        <v>219</v>
      </c>
      <c r="B31" s="4" t="s">
        <v>90</v>
      </c>
      <c r="C31" s="4" t="s">
        <v>259</v>
      </c>
    </row>
    <row r="32">
      <c r="A32" s="27" t="s">
        <v>220</v>
      </c>
      <c r="B32" s="4" t="s">
        <v>92</v>
      </c>
      <c r="C32" s="4" t="s">
        <v>259</v>
      </c>
    </row>
    <row r="33">
      <c r="A33" s="27" t="s">
        <v>222</v>
      </c>
      <c r="B33" s="4" t="s">
        <v>93</v>
      </c>
      <c r="C33" s="4" t="s">
        <v>259</v>
      </c>
    </row>
    <row r="34">
      <c r="A34" s="27" t="s">
        <v>223</v>
      </c>
      <c r="B34" s="4" t="s">
        <v>94</v>
      </c>
      <c r="C34" s="4" t="s">
        <v>259</v>
      </c>
    </row>
    <row r="35">
      <c r="A35" s="27" t="s">
        <v>225</v>
      </c>
      <c r="B35" s="4" t="s">
        <v>45</v>
      </c>
      <c r="C35" s="4" t="s">
        <v>259</v>
      </c>
    </row>
    <row r="36">
      <c r="A36" s="27" t="s">
        <v>258</v>
      </c>
      <c r="B36" s="4" t="s">
        <v>47</v>
      </c>
      <c r="C36" s="4" t="s">
        <v>259</v>
      </c>
    </row>
    <row r="37">
      <c r="A37" s="27" t="s">
        <v>266</v>
      </c>
      <c r="B37" s="4" t="s">
        <v>105</v>
      </c>
      <c r="C37" s="4" t="s">
        <v>259</v>
      </c>
    </row>
    <row r="38">
      <c r="A38" s="27" t="s">
        <v>207</v>
      </c>
      <c r="B38" s="4" t="s">
        <v>106</v>
      </c>
      <c r="C38" s="4" t="s">
        <v>259</v>
      </c>
    </row>
    <row r="39">
      <c r="A39" s="27" t="s">
        <v>230</v>
      </c>
      <c r="B39" s="4" t="s">
        <v>95</v>
      </c>
      <c r="C39" s="4" t="s">
        <v>259</v>
      </c>
    </row>
    <row r="40">
      <c r="A40" s="27" t="s">
        <v>231</v>
      </c>
      <c r="B40" s="4" t="s">
        <v>96</v>
      </c>
      <c r="C40" s="4" t="s">
        <v>259</v>
      </c>
    </row>
    <row r="41">
      <c r="A41" s="27" t="s">
        <v>232</v>
      </c>
      <c r="B41" s="4" t="s">
        <v>49</v>
      </c>
      <c r="C41" s="4" t="s">
        <v>259</v>
      </c>
    </row>
    <row r="42">
      <c r="A42" s="27" t="s">
        <v>234</v>
      </c>
      <c r="B42" s="4" t="s">
        <v>97</v>
      </c>
      <c r="C42" s="4" t="s">
        <v>259</v>
      </c>
    </row>
    <row r="43">
      <c r="A43" s="27" t="s">
        <v>235</v>
      </c>
      <c r="B43" s="4" t="s">
        <v>98</v>
      </c>
      <c r="C43" s="4" t="s">
        <v>259</v>
      </c>
    </row>
    <row r="44">
      <c r="A44" s="27" t="s">
        <v>228</v>
      </c>
      <c r="B44" s="4" t="s">
        <v>99</v>
      </c>
      <c r="C44" s="4" t="s">
        <v>259</v>
      </c>
    </row>
    <row r="45">
      <c r="A45" s="27" t="s">
        <v>239</v>
      </c>
      <c r="B45" s="4" t="s">
        <v>204</v>
      </c>
      <c r="C45" s="4" t="s">
        <v>259</v>
      </c>
    </row>
    <row r="46">
      <c r="A46" s="27" t="s">
        <v>241</v>
      </c>
      <c r="B46" s="4" t="s">
        <v>100</v>
      </c>
      <c r="C46" s="4" t="s">
        <v>259</v>
      </c>
    </row>
    <row r="47">
      <c r="A47" s="27" t="s">
        <v>255</v>
      </c>
      <c r="B47" s="4" t="s">
        <v>101</v>
      </c>
      <c r="C47" s="4" t="s">
        <v>259</v>
      </c>
    </row>
    <row r="48">
      <c r="A48" s="27" t="s">
        <v>267</v>
      </c>
      <c r="B48" s="4" t="s">
        <v>102</v>
      </c>
      <c r="C48" s="4" t="s">
        <v>259</v>
      </c>
    </row>
    <row r="49">
      <c r="A49" s="27" t="s">
        <v>269</v>
      </c>
      <c r="B49" s="4" t="s">
        <v>121</v>
      </c>
      <c r="C49" s="4" t="s">
        <v>259</v>
      </c>
    </row>
    <row r="50">
      <c r="A50" s="27" t="s">
        <v>270</v>
      </c>
      <c r="B50" s="4" t="s">
        <v>124</v>
      </c>
      <c r="C50" s="4" t="s">
        <v>259</v>
      </c>
    </row>
    <row r="51">
      <c r="A51" s="27" t="s">
        <v>178</v>
      </c>
      <c r="B51" s="4" t="s">
        <v>125</v>
      </c>
      <c r="C51" s="4" t="s">
        <v>257</v>
      </c>
    </row>
    <row r="52">
      <c r="A52" s="27" t="s">
        <v>189</v>
      </c>
      <c r="B52" s="4" t="s">
        <v>51</v>
      </c>
      <c r="C52" s="4" t="s">
        <v>257</v>
      </c>
    </row>
    <row r="53">
      <c r="A53" s="27" t="s">
        <v>185</v>
      </c>
      <c r="B53" s="4" t="s">
        <v>127</v>
      </c>
      <c r="C53" s="4" t="s">
        <v>257</v>
      </c>
    </row>
    <row r="54">
      <c r="A54" s="27" t="s">
        <v>271</v>
      </c>
      <c r="B54" s="4" t="s">
        <v>128</v>
      </c>
      <c r="C54" s="4" t="s">
        <v>272</v>
      </c>
    </row>
    <row r="55">
      <c r="A55" s="27" t="s">
        <v>206</v>
      </c>
      <c r="B55" s="4" t="s">
        <v>132</v>
      </c>
      <c r="C55" s="4" t="s">
        <v>259</v>
      </c>
    </row>
    <row r="56">
      <c r="A56" s="27" t="s">
        <v>229</v>
      </c>
      <c r="B56" s="4" t="s">
        <v>103</v>
      </c>
      <c r="C56" s="4" t="s">
        <v>259</v>
      </c>
    </row>
    <row r="57">
      <c r="A57" s="27" t="s">
        <v>264</v>
      </c>
      <c r="B57" s="4" t="s">
        <v>104</v>
      </c>
      <c r="C57" s="4" t="s">
        <v>259</v>
      </c>
    </row>
    <row r="58">
      <c r="A58" s="27" t="s">
        <v>142</v>
      </c>
      <c r="B58" s="4" t="s">
        <v>134</v>
      </c>
      <c r="C58" s="4" t="s">
        <v>259</v>
      </c>
    </row>
    <row r="59">
      <c r="A59" s="27" t="s">
        <v>190</v>
      </c>
      <c r="B59" s="4" t="s">
        <v>107</v>
      </c>
      <c r="C59" s="4" t="s">
        <v>257</v>
      </c>
    </row>
    <row r="60">
      <c r="A60" s="27" t="s">
        <v>226</v>
      </c>
      <c r="B60" s="31" t="s">
        <v>199</v>
      </c>
      <c r="C60" s="4" t="s">
        <v>259</v>
      </c>
    </row>
    <row r="61">
      <c r="A61" s="27" t="s">
        <v>244</v>
      </c>
      <c r="B61" s="31" t="s">
        <v>214</v>
      </c>
      <c r="C61" s="4" t="s">
        <v>259</v>
      </c>
    </row>
    <row r="62">
      <c r="A62" s="27" t="s">
        <v>268</v>
      </c>
      <c r="B62" s="31" t="s">
        <v>238</v>
      </c>
      <c r="C62" s="4" t="s">
        <v>259</v>
      </c>
    </row>
    <row r="63">
      <c r="A63" s="27" t="s">
        <v>273</v>
      </c>
      <c r="B63" s="31" t="s">
        <v>243</v>
      </c>
      <c r="C63" s="4" t="s">
        <v>259</v>
      </c>
    </row>
    <row r="64">
      <c r="A64" s="27" t="s">
        <v>274</v>
      </c>
      <c r="B64" s="31" t="s">
        <v>246</v>
      </c>
      <c r="C64" s="4" t="s">
        <v>259</v>
      </c>
    </row>
    <row r="65">
      <c r="A65" s="27" t="s">
        <v>275</v>
      </c>
      <c r="B65" s="31" t="s">
        <v>248</v>
      </c>
      <c r="C65" s="4" t="s">
        <v>259</v>
      </c>
    </row>
    <row r="66">
      <c r="A66" s="27" t="s">
        <v>276</v>
      </c>
      <c r="B66" s="31" t="s">
        <v>250</v>
      </c>
      <c r="C66" s="4" t="s">
        <v>259</v>
      </c>
    </row>
    <row r="67">
      <c r="A67" s="27" t="s">
        <v>277</v>
      </c>
      <c r="B67" s="31" t="s">
        <v>252</v>
      </c>
      <c r="C67" s="4" t="s">
        <v>259</v>
      </c>
    </row>
    <row r="68">
      <c r="A68" s="45"/>
    </row>
    <row r="69">
      <c r="A69" s="45"/>
    </row>
    <row r="70">
      <c r="A70" s="45"/>
    </row>
    <row r="71">
      <c r="A71" s="45"/>
    </row>
    <row r="72">
      <c r="A72" s="45"/>
    </row>
    <row r="73">
      <c r="A73" s="45"/>
    </row>
    <row r="74">
      <c r="A74" s="45"/>
    </row>
    <row r="75">
      <c r="A75" s="45"/>
    </row>
    <row r="76">
      <c r="A76" s="45"/>
    </row>
    <row r="77">
      <c r="A77" s="45"/>
    </row>
    <row r="78">
      <c r="A78" s="45"/>
    </row>
    <row r="79">
      <c r="A79" s="45"/>
    </row>
    <row r="80">
      <c r="A80" s="45"/>
    </row>
    <row r="81">
      <c r="A81" s="45"/>
    </row>
    <row r="82">
      <c r="A82" s="45"/>
    </row>
    <row r="83">
      <c r="A83" s="45"/>
    </row>
    <row r="84">
      <c r="A84" s="45"/>
    </row>
    <row r="85">
      <c r="A85" s="45"/>
    </row>
    <row r="86">
      <c r="A86" s="45"/>
    </row>
    <row r="87">
      <c r="A87" s="45"/>
    </row>
    <row r="88">
      <c r="A88" s="45"/>
    </row>
    <row r="89">
      <c r="A89" s="45"/>
    </row>
    <row r="90">
      <c r="A90" s="45"/>
    </row>
    <row r="91">
      <c r="A91" s="45"/>
    </row>
    <row r="92">
      <c r="A92" s="45"/>
    </row>
    <row r="93">
      <c r="A93" s="45"/>
    </row>
    <row r="94">
      <c r="A94" s="45"/>
    </row>
    <row r="95">
      <c r="A95" s="45"/>
    </row>
    <row r="96">
      <c r="A96" s="45"/>
    </row>
    <row r="97">
      <c r="A97" s="45"/>
    </row>
    <row r="98">
      <c r="A98" s="45"/>
    </row>
    <row r="99">
      <c r="A99" s="45"/>
    </row>
    <row r="100">
      <c r="A100" s="45"/>
    </row>
    <row r="101">
      <c r="A101" s="45"/>
    </row>
    <row r="102">
      <c r="A102" s="45"/>
    </row>
    <row r="103">
      <c r="A103" s="45"/>
    </row>
    <row r="104">
      <c r="A104" s="45"/>
    </row>
    <row r="105">
      <c r="A105" s="45"/>
    </row>
    <row r="106">
      <c r="A106" s="45"/>
    </row>
    <row r="107">
      <c r="A107" s="45"/>
    </row>
    <row r="108">
      <c r="A108" s="45"/>
    </row>
    <row r="109">
      <c r="A109" s="45"/>
    </row>
    <row r="110">
      <c r="A110" s="45"/>
    </row>
    <row r="111">
      <c r="A111" s="45"/>
    </row>
    <row r="112">
      <c r="A112" s="45"/>
    </row>
    <row r="113">
      <c r="A113" s="45"/>
    </row>
    <row r="114">
      <c r="A114" s="45"/>
    </row>
    <row r="115">
      <c r="A115" s="45"/>
    </row>
    <row r="116">
      <c r="A116" s="45"/>
    </row>
    <row r="117">
      <c r="A117" s="45"/>
    </row>
    <row r="118">
      <c r="A118" s="45"/>
    </row>
    <row r="119">
      <c r="A119" s="45"/>
    </row>
    <row r="120">
      <c r="A120" s="45"/>
    </row>
    <row r="121">
      <c r="A121" s="45"/>
    </row>
    <row r="122">
      <c r="A122" s="45"/>
    </row>
    <row r="123">
      <c r="A123" s="45"/>
    </row>
    <row r="124">
      <c r="A124" s="45"/>
    </row>
    <row r="125">
      <c r="A125" s="45"/>
    </row>
    <row r="126">
      <c r="A126" s="45"/>
    </row>
    <row r="127">
      <c r="A127" s="45"/>
    </row>
    <row r="128">
      <c r="A128" s="45"/>
    </row>
    <row r="129">
      <c r="A129" s="45"/>
    </row>
    <row r="130">
      <c r="A130" s="45"/>
    </row>
    <row r="131">
      <c r="A131" s="45"/>
    </row>
    <row r="132">
      <c r="A132" s="45"/>
    </row>
    <row r="133">
      <c r="A133" s="45"/>
    </row>
    <row r="134">
      <c r="A134" s="45"/>
    </row>
    <row r="135">
      <c r="A135" s="45"/>
    </row>
    <row r="136">
      <c r="A136" s="45"/>
    </row>
    <row r="137">
      <c r="A137" s="45"/>
    </row>
    <row r="138">
      <c r="A138" s="45"/>
    </row>
    <row r="139">
      <c r="A139" s="45"/>
    </row>
    <row r="140">
      <c r="A140" s="45"/>
    </row>
    <row r="141">
      <c r="A141" s="45"/>
    </row>
    <row r="142">
      <c r="A142" s="45"/>
    </row>
    <row r="143">
      <c r="A143" s="45"/>
    </row>
    <row r="144">
      <c r="A144" s="45"/>
    </row>
    <row r="145">
      <c r="A145" s="45"/>
    </row>
    <row r="146">
      <c r="A146" s="45"/>
    </row>
    <row r="147">
      <c r="A147" s="45"/>
    </row>
    <row r="148">
      <c r="A148" s="45"/>
    </row>
    <row r="149">
      <c r="A149" s="45"/>
    </row>
    <row r="150">
      <c r="A150" s="45"/>
    </row>
    <row r="151">
      <c r="A151" s="45"/>
    </row>
    <row r="152">
      <c r="A152" s="45"/>
    </row>
    <row r="153">
      <c r="A153" s="45"/>
    </row>
    <row r="154">
      <c r="A154" s="45"/>
    </row>
    <row r="155">
      <c r="A155" s="45"/>
    </row>
    <row r="156">
      <c r="A156" s="45"/>
    </row>
    <row r="157">
      <c r="A157" s="45"/>
    </row>
    <row r="158">
      <c r="A158" s="45"/>
    </row>
    <row r="159">
      <c r="A159" s="45"/>
    </row>
    <row r="160">
      <c r="A160" s="45"/>
    </row>
    <row r="161">
      <c r="A161" s="45"/>
    </row>
    <row r="162">
      <c r="A162" s="45"/>
    </row>
    <row r="163">
      <c r="A163" s="45"/>
    </row>
    <row r="164">
      <c r="A164" s="45"/>
    </row>
    <row r="165">
      <c r="A165" s="45"/>
    </row>
    <row r="166">
      <c r="A166" s="45"/>
    </row>
    <row r="167">
      <c r="A167" s="45"/>
    </row>
    <row r="168">
      <c r="A168" s="45"/>
    </row>
    <row r="169">
      <c r="A169" s="45"/>
    </row>
    <row r="170">
      <c r="A170" s="45"/>
    </row>
    <row r="171">
      <c r="A171" s="45"/>
    </row>
    <row r="172">
      <c r="A172" s="45"/>
    </row>
    <row r="173">
      <c r="A173" s="45"/>
    </row>
    <row r="174">
      <c r="A174" s="45"/>
    </row>
    <row r="175">
      <c r="A175" s="45"/>
    </row>
    <row r="176">
      <c r="A176" s="45"/>
    </row>
    <row r="177">
      <c r="A177" s="45"/>
    </row>
    <row r="178">
      <c r="A178" s="45"/>
    </row>
    <row r="179">
      <c r="A179" s="45"/>
    </row>
    <row r="180">
      <c r="A180" s="45"/>
    </row>
    <row r="181">
      <c r="A181" s="45"/>
    </row>
    <row r="182">
      <c r="A182" s="45"/>
    </row>
    <row r="183">
      <c r="A183" s="45"/>
    </row>
    <row r="184">
      <c r="A184" s="45"/>
    </row>
    <row r="185">
      <c r="A185" s="45"/>
    </row>
    <row r="186">
      <c r="A186" s="45"/>
    </row>
    <row r="187">
      <c r="A187" s="45"/>
    </row>
    <row r="188">
      <c r="A188" s="45"/>
    </row>
    <row r="189">
      <c r="A189" s="45"/>
    </row>
    <row r="190">
      <c r="A190" s="45"/>
    </row>
    <row r="191">
      <c r="A191" s="45"/>
    </row>
    <row r="192">
      <c r="A192" s="45"/>
    </row>
    <row r="193">
      <c r="A193" s="45"/>
    </row>
    <row r="194">
      <c r="A194" s="45"/>
    </row>
    <row r="195">
      <c r="A195" s="45"/>
    </row>
    <row r="196">
      <c r="A196" s="45"/>
    </row>
    <row r="197">
      <c r="A197" s="45"/>
    </row>
    <row r="198">
      <c r="A198" s="45"/>
    </row>
    <row r="199">
      <c r="A199" s="45"/>
    </row>
    <row r="200">
      <c r="A200" s="45"/>
    </row>
    <row r="201">
      <c r="A201" s="45"/>
    </row>
    <row r="202">
      <c r="A202" s="45"/>
    </row>
    <row r="203">
      <c r="A203" s="45"/>
    </row>
    <row r="204">
      <c r="A204" s="45"/>
    </row>
    <row r="205">
      <c r="A205" s="45"/>
    </row>
    <row r="206">
      <c r="A206" s="45"/>
    </row>
    <row r="207">
      <c r="A207" s="45"/>
    </row>
    <row r="208">
      <c r="A208" s="45"/>
    </row>
    <row r="209">
      <c r="A209" s="45"/>
    </row>
    <row r="210">
      <c r="A210" s="45"/>
    </row>
    <row r="211">
      <c r="A211" s="45"/>
    </row>
    <row r="212">
      <c r="A212" s="45"/>
    </row>
    <row r="213">
      <c r="A213" s="45"/>
    </row>
    <row r="214">
      <c r="A214" s="45"/>
    </row>
    <row r="215">
      <c r="A215" s="45"/>
    </row>
    <row r="216">
      <c r="A216" s="45"/>
    </row>
    <row r="217">
      <c r="A217" s="45"/>
    </row>
    <row r="218">
      <c r="A218" s="45"/>
    </row>
    <row r="219">
      <c r="A219" s="45"/>
    </row>
    <row r="220">
      <c r="A220" s="45"/>
    </row>
    <row r="221">
      <c r="A221" s="45"/>
    </row>
    <row r="222">
      <c r="A222" s="45"/>
    </row>
    <row r="223">
      <c r="A223" s="45"/>
    </row>
    <row r="224">
      <c r="A224" s="45"/>
    </row>
    <row r="225">
      <c r="A225" s="45"/>
    </row>
    <row r="226">
      <c r="A226" s="45"/>
    </row>
    <row r="227">
      <c r="A227" s="45"/>
    </row>
    <row r="228">
      <c r="A228" s="45"/>
    </row>
    <row r="229">
      <c r="A229" s="45"/>
    </row>
    <row r="230">
      <c r="A230" s="45"/>
    </row>
    <row r="231">
      <c r="A231" s="45"/>
    </row>
    <row r="232">
      <c r="A232" s="45"/>
    </row>
    <row r="233">
      <c r="A233" s="45"/>
    </row>
    <row r="234">
      <c r="A234" s="45"/>
    </row>
    <row r="235">
      <c r="A235" s="45"/>
    </row>
    <row r="236">
      <c r="A236" s="45"/>
    </row>
    <row r="237">
      <c r="A237" s="45"/>
    </row>
    <row r="238">
      <c r="A238" s="45"/>
    </row>
    <row r="239">
      <c r="A239" s="45"/>
    </row>
    <row r="240">
      <c r="A240" s="45"/>
    </row>
    <row r="241">
      <c r="A241" s="45"/>
    </row>
    <row r="242">
      <c r="A242" s="45"/>
    </row>
    <row r="243">
      <c r="A243" s="45"/>
    </row>
    <row r="244">
      <c r="A244" s="45"/>
    </row>
    <row r="245">
      <c r="A245" s="45"/>
    </row>
    <row r="246">
      <c r="A246" s="45"/>
    </row>
    <row r="247">
      <c r="A247" s="45"/>
    </row>
    <row r="248">
      <c r="A248" s="45"/>
    </row>
    <row r="249">
      <c r="A249" s="45"/>
    </row>
    <row r="250">
      <c r="A250" s="45"/>
    </row>
    <row r="251">
      <c r="A251" s="45"/>
    </row>
    <row r="252">
      <c r="A252" s="45"/>
    </row>
    <row r="253">
      <c r="A253" s="45"/>
    </row>
    <row r="254">
      <c r="A254" s="45"/>
    </row>
    <row r="255">
      <c r="A255" s="45"/>
    </row>
    <row r="256">
      <c r="A256" s="45"/>
    </row>
    <row r="257">
      <c r="A257" s="45"/>
    </row>
    <row r="258">
      <c r="A258" s="45"/>
    </row>
    <row r="259">
      <c r="A259" s="45"/>
    </row>
    <row r="260">
      <c r="A260" s="45"/>
    </row>
    <row r="261">
      <c r="A261" s="45"/>
    </row>
    <row r="262">
      <c r="A262" s="45"/>
    </row>
    <row r="263">
      <c r="A263" s="45"/>
    </row>
    <row r="264">
      <c r="A264" s="45"/>
    </row>
    <row r="265">
      <c r="A265" s="45"/>
    </row>
    <row r="266">
      <c r="A266" s="45"/>
    </row>
    <row r="267">
      <c r="A267" s="45"/>
    </row>
    <row r="268">
      <c r="A268" s="45"/>
    </row>
    <row r="269">
      <c r="A269" s="45"/>
    </row>
    <row r="270">
      <c r="A270" s="45"/>
    </row>
    <row r="271">
      <c r="A271" s="45"/>
    </row>
    <row r="272">
      <c r="A272" s="45"/>
    </row>
    <row r="273">
      <c r="A273" s="45"/>
    </row>
    <row r="274">
      <c r="A274" s="45"/>
    </row>
    <row r="275">
      <c r="A275" s="45"/>
    </row>
    <row r="276">
      <c r="A276" s="45"/>
    </row>
    <row r="277">
      <c r="A277" s="45"/>
    </row>
    <row r="278">
      <c r="A278" s="45"/>
    </row>
    <row r="279">
      <c r="A279" s="45"/>
    </row>
    <row r="280">
      <c r="A280" s="45"/>
    </row>
    <row r="281">
      <c r="A281" s="45"/>
    </row>
    <row r="282">
      <c r="A282" s="45"/>
    </row>
    <row r="283">
      <c r="A283" s="45"/>
    </row>
    <row r="284">
      <c r="A284" s="45"/>
    </row>
    <row r="285">
      <c r="A285" s="45"/>
    </row>
    <row r="286">
      <c r="A286" s="45"/>
    </row>
    <row r="287">
      <c r="A287" s="45"/>
    </row>
    <row r="288">
      <c r="A288" s="45"/>
    </row>
    <row r="289">
      <c r="A289" s="45"/>
    </row>
    <row r="290">
      <c r="A290" s="45"/>
    </row>
    <row r="291">
      <c r="A291" s="45"/>
    </row>
    <row r="292">
      <c r="A292" s="45"/>
    </row>
    <row r="293">
      <c r="A293" s="45"/>
    </row>
    <row r="294">
      <c r="A294" s="45"/>
    </row>
    <row r="295">
      <c r="A295" s="45"/>
    </row>
    <row r="296">
      <c r="A296" s="45"/>
    </row>
    <row r="297">
      <c r="A297" s="45"/>
    </row>
    <row r="298">
      <c r="A298" s="45"/>
    </row>
    <row r="299">
      <c r="A299" s="45"/>
    </row>
    <row r="300">
      <c r="A300" s="45"/>
    </row>
    <row r="301">
      <c r="A301" s="45"/>
    </row>
    <row r="302">
      <c r="A302" s="45"/>
    </row>
    <row r="303">
      <c r="A303" s="45"/>
    </row>
    <row r="304">
      <c r="A304" s="45"/>
    </row>
    <row r="305">
      <c r="A305" s="45"/>
    </row>
    <row r="306">
      <c r="A306" s="45"/>
    </row>
    <row r="307">
      <c r="A307" s="45"/>
    </row>
    <row r="308">
      <c r="A308" s="45"/>
    </row>
    <row r="309">
      <c r="A309" s="45"/>
    </row>
    <row r="310">
      <c r="A310" s="45"/>
    </row>
    <row r="311">
      <c r="A311" s="45"/>
    </row>
    <row r="312">
      <c r="A312" s="45"/>
    </row>
    <row r="313">
      <c r="A313" s="45"/>
    </row>
    <row r="314">
      <c r="A314" s="45"/>
    </row>
    <row r="315">
      <c r="A315" s="45"/>
    </row>
    <row r="316">
      <c r="A316" s="45"/>
    </row>
    <row r="317">
      <c r="A317" s="45"/>
    </row>
    <row r="318">
      <c r="A318" s="45"/>
    </row>
    <row r="319">
      <c r="A319" s="45"/>
    </row>
    <row r="320">
      <c r="A320" s="45"/>
    </row>
    <row r="321">
      <c r="A321" s="45"/>
    </row>
    <row r="322">
      <c r="A322" s="45"/>
    </row>
    <row r="323">
      <c r="A323" s="45"/>
    </row>
    <row r="324">
      <c r="A324" s="45"/>
    </row>
    <row r="325">
      <c r="A325" s="45"/>
    </row>
    <row r="326">
      <c r="A326" s="45"/>
    </row>
    <row r="327">
      <c r="A327" s="45"/>
    </row>
    <row r="328">
      <c r="A328" s="45"/>
    </row>
    <row r="329">
      <c r="A329" s="45"/>
    </row>
    <row r="330">
      <c r="A330" s="45"/>
    </row>
    <row r="331">
      <c r="A331" s="45"/>
    </row>
    <row r="332">
      <c r="A332" s="45"/>
    </row>
    <row r="333">
      <c r="A333" s="45"/>
    </row>
    <row r="334">
      <c r="A334" s="45"/>
    </row>
    <row r="335">
      <c r="A335" s="45"/>
    </row>
    <row r="336">
      <c r="A336" s="45"/>
    </row>
    <row r="337">
      <c r="A337" s="45"/>
    </row>
    <row r="338">
      <c r="A338" s="45"/>
    </row>
    <row r="339">
      <c r="A339" s="45"/>
    </row>
    <row r="340">
      <c r="A340" s="45"/>
    </row>
    <row r="341">
      <c r="A341" s="45"/>
    </row>
    <row r="342">
      <c r="A342" s="45"/>
    </row>
    <row r="343">
      <c r="A343" s="45"/>
    </row>
    <row r="344">
      <c r="A344" s="45"/>
    </row>
    <row r="345">
      <c r="A345" s="45"/>
    </row>
    <row r="346">
      <c r="A346" s="45"/>
    </row>
    <row r="347">
      <c r="A347" s="45"/>
    </row>
    <row r="348">
      <c r="A348" s="45"/>
    </row>
    <row r="349">
      <c r="A349" s="45"/>
    </row>
    <row r="350">
      <c r="A350" s="45"/>
    </row>
    <row r="351">
      <c r="A351" s="45"/>
    </row>
    <row r="352">
      <c r="A352" s="45"/>
    </row>
    <row r="353">
      <c r="A353" s="45"/>
    </row>
    <row r="354">
      <c r="A354" s="45"/>
    </row>
    <row r="355">
      <c r="A355" s="45"/>
    </row>
    <row r="356">
      <c r="A356" s="45"/>
    </row>
    <row r="357">
      <c r="A357" s="45"/>
    </row>
    <row r="358">
      <c r="A358" s="45"/>
    </row>
    <row r="359">
      <c r="A359" s="45"/>
    </row>
    <row r="360">
      <c r="A360" s="45"/>
    </row>
    <row r="361">
      <c r="A361" s="45"/>
    </row>
    <row r="362">
      <c r="A362" s="45"/>
    </row>
    <row r="363">
      <c r="A363" s="45"/>
    </row>
    <row r="364">
      <c r="A364" s="45"/>
    </row>
    <row r="365">
      <c r="A365" s="45"/>
    </row>
    <row r="366">
      <c r="A366" s="45"/>
    </row>
    <row r="367">
      <c r="A367" s="45"/>
    </row>
    <row r="368">
      <c r="A368" s="45"/>
    </row>
    <row r="369">
      <c r="A369" s="45"/>
    </row>
    <row r="370">
      <c r="A370" s="45"/>
    </row>
    <row r="371">
      <c r="A371" s="45"/>
    </row>
    <row r="372">
      <c r="A372" s="45"/>
    </row>
    <row r="373">
      <c r="A373" s="45"/>
    </row>
    <row r="374">
      <c r="A374" s="45"/>
    </row>
    <row r="375">
      <c r="A375" s="45"/>
    </row>
    <row r="376">
      <c r="A376" s="45"/>
    </row>
    <row r="377">
      <c r="A377" s="45"/>
    </row>
    <row r="378">
      <c r="A378" s="45"/>
    </row>
    <row r="379">
      <c r="A379" s="45"/>
    </row>
    <row r="380">
      <c r="A380" s="45"/>
    </row>
    <row r="381">
      <c r="A381" s="45"/>
    </row>
    <row r="382">
      <c r="A382" s="45"/>
    </row>
    <row r="383">
      <c r="A383" s="45"/>
    </row>
    <row r="384">
      <c r="A384" s="45"/>
    </row>
    <row r="385">
      <c r="A385" s="45"/>
    </row>
    <row r="386">
      <c r="A386" s="45"/>
    </row>
    <row r="387">
      <c r="A387" s="45"/>
    </row>
    <row r="388">
      <c r="A388" s="45"/>
    </row>
    <row r="389">
      <c r="A389" s="45"/>
    </row>
    <row r="390">
      <c r="A390" s="45"/>
    </row>
    <row r="391">
      <c r="A391" s="45"/>
    </row>
    <row r="392">
      <c r="A392" s="45"/>
    </row>
    <row r="393">
      <c r="A393" s="45"/>
    </row>
    <row r="394">
      <c r="A394" s="45"/>
    </row>
    <row r="395">
      <c r="A395" s="45"/>
    </row>
    <row r="396">
      <c r="A396" s="45"/>
    </row>
    <row r="397">
      <c r="A397" s="45"/>
    </row>
    <row r="398">
      <c r="A398" s="45"/>
    </row>
    <row r="399">
      <c r="A399" s="45"/>
    </row>
    <row r="400">
      <c r="A400" s="45"/>
    </row>
    <row r="401">
      <c r="A401" s="45"/>
    </row>
    <row r="402">
      <c r="A402" s="45"/>
    </row>
    <row r="403">
      <c r="A403" s="45"/>
    </row>
    <row r="404">
      <c r="A404" s="45"/>
    </row>
    <row r="405">
      <c r="A405" s="45"/>
    </row>
    <row r="406">
      <c r="A406" s="45"/>
    </row>
    <row r="407">
      <c r="A407" s="45"/>
    </row>
    <row r="408">
      <c r="A408" s="45"/>
    </row>
    <row r="409">
      <c r="A409" s="45"/>
    </row>
    <row r="410">
      <c r="A410" s="45"/>
    </row>
    <row r="411">
      <c r="A411" s="45"/>
    </row>
    <row r="412">
      <c r="A412" s="45"/>
    </row>
    <row r="413">
      <c r="A413" s="45"/>
    </row>
    <row r="414">
      <c r="A414" s="45"/>
    </row>
    <row r="415">
      <c r="A415" s="45"/>
    </row>
    <row r="416">
      <c r="A416" s="45"/>
    </row>
    <row r="417">
      <c r="A417" s="45"/>
    </row>
    <row r="418">
      <c r="A418" s="45"/>
    </row>
    <row r="419">
      <c r="A419" s="45"/>
    </row>
    <row r="420">
      <c r="A420" s="45"/>
    </row>
    <row r="421">
      <c r="A421" s="45"/>
    </row>
    <row r="422">
      <c r="A422" s="45"/>
    </row>
    <row r="423">
      <c r="A423" s="45"/>
    </row>
    <row r="424">
      <c r="A424" s="45"/>
    </row>
    <row r="425">
      <c r="A425" s="45"/>
    </row>
    <row r="426">
      <c r="A426" s="45"/>
    </row>
    <row r="427">
      <c r="A427" s="45"/>
    </row>
    <row r="428">
      <c r="A428" s="45"/>
    </row>
    <row r="429">
      <c r="A429" s="45"/>
    </row>
    <row r="430">
      <c r="A430" s="45"/>
    </row>
    <row r="431">
      <c r="A431" s="45"/>
    </row>
    <row r="432">
      <c r="A432" s="45"/>
    </row>
    <row r="433">
      <c r="A433" s="45"/>
    </row>
    <row r="434">
      <c r="A434" s="45"/>
    </row>
    <row r="435">
      <c r="A435" s="45"/>
    </row>
    <row r="436">
      <c r="A436" s="45"/>
    </row>
    <row r="437">
      <c r="A437" s="45"/>
    </row>
    <row r="438">
      <c r="A438" s="45"/>
    </row>
    <row r="439">
      <c r="A439" s="45"/>
    </row>
    <row r="440">
      <c r="A440" s="45"/>
    </row>
    <row r="441">
      <c r="A441" s="45"/>
    </row>
    <row r="442">
      <c r="A442" s="45"/>
    </row>
    <row r="443">
      <c r="A443" s="45"/>
    </row>
    <row r="444">
      <c r="A444" s="45"/>
    </row>
    <row r="445">
      <c r="A445" s="45"/>
    </row>
    <row r="446">
      <c r="A446" s="45"/>
    </row>
    <row r="447">
      <c r="A447" s="45"/>
    </row>
    <row r="448">
      <c r="A448" s="45"/>
    </row>
    <row r="449">
      <c r="A449" s="45"/>
    </row>
    <row r="450">
      <c r="A450" s="45"/>
    </row>
    <row r="451">
      <c r="A451" s="45"/>
    </row>
    <row r="452">
      <c r="A452" s="45"/>
    </row>
    <row r="453">
      <c r="A453" s="45"/>
    </row>
    <row r="454">
      <c r="A454" s="45"/>
    </row>
    <row r="455">
      <c r="A455" s="45"/>
    </row>
    <row r="456">
      <c r="A456" s="45"/>
    </row>
    <row r="457">
      <c r="A457" s="45"/>
    </row>
    <row r="458">
      <c r="A458" s="45"/>
    </row>
    <row r="459">
      <c r="A459" s="45"/>
    </row>
    <row r="460">
      <c r="A460" s="45"/>
    </row>
    <row r="461">
      <c r="A461" s="45"/>
    </row>
    <row r="462">
      <c r="A462" s="45"/>
    </row>
    <row r="463">
      <c r="A463" s="45"/>
    </row>
    <row r="464">
      <c r="A464" s="45"/>
    </row>
    <row r="465">
      <c r="A465" s="45"/>
    </row>
    <row r="466">
      <c r="A466" s="45"/>
    </row>
    <row r="467">
      <c r="A467" s="45"/>
    </row>
    <row r="468">
      <c r="A468" s="45"/>
    </row>
    <row r="469">
      <c r="A469" s="45"/>
    </row>
    <row r="470">
      <c r="A470" s="45"/>
    </row>
    <row r="471">
      <c r="A471" s="45"/>
    </row>
    <row r="472">
      <c r="A472" s="45"/>
    </row>
    <row r="473">
      <c r="A473" s="45"/>
    </row>
    <row r="474">
      <c r="A474" s="45"/>
    </row>
    <row r="475">
      <c r="A475" s="45"/>
    </row>
    <row r="476">
      <c r="A476" s="45"/>
    </row>
    <row r="477">
      <c r="A477" s="45"/>
    </row>
    <row r="478">
      <c r="A478" s="45"/>
    </row>
    <row r="479">
      <c r="A479" s="45"/>
    </row>
    <row r="480">
      <c r="A480" s="45"/>
    </row>
    <row r="481">
      <c r="A481" s="45"/>
    </row>
    <row r="482">
      <c r="A482" s="45"/>
    </row>
    <row r="483">
      <c r="A483" s="45"/>
    </row>
    <row r="484">
      <c r="A484" s="45"/>
    </row>
    <row r="485">
      <c r="A485" s="45"/>
    </row>
    <row r="486">
      <c r="A486" s="45"/>
    </row>
    <row r="487">
      <c r="A487" s="45"/>
    </row>
    <row r="488">
      <c r="A488" s="45"/>
    </row>
    <row r="489">
      <c r="A489" s="45"/>
    </row>
    <row r="490">
      <c r="A490" s="45"/>
    </row>
    <row r="491">
      <c r="A491" s="45"/>
    </row>
    <row r="492">
      <c r="A492" s="45"/>
    </row>
    <row r="493">
      <c r="A493" s="45"/>
    </row>
    <row r="494">
      <c r="A494" s="45"/>
    </row>
    <row r="495">
      <c r="A495" s="45"/>
    </row>
    <row r="496">
      <c r="A496" s="45"/>
    </row>
    <row r="497">
      <c r="A497" s="45"/>
    </row>
    <row r="498">
      <c r="A498" s="45"/>
    </row>
    <row r="499">
      <c r="A499" s="45"/>
    </row>
    <row r="500">
      <c r="A500" s="45"/>
    </row>
    <row r="501">
      <c r="A501" s="45"/>
    </row>
    <row r="502">
      <c r="A502" s="45"/>
    </row>
    <row r="503">
      <c r="A503" s="45"/>
    </row>
    <row r="504">
      <c r="A504" s="45"/>
    </row>
    <row r="505">
      <c r="A505" s="45"/>
    </row>
    <row r="506">
      <c r="A506" s="45"/>
    </row>
    <row r="507">
      <c r="A507" s="45"/>
    </row>
    <row r="508">
      <c r="A508" s="45"/>
    </row>
    <row r="509">
      <c r="A509" s="45"/>
    </row>
    <row r="510">
      <c r="A510" s="45"/>
    </row>
    <row r="511">
      <c r="A511" s="45"/>
    </row>
    <row r="512">
      <c r="A512" s="45"/>
    </row>
    <row r="513">
      <c r="A513" s="45"/>
    </row>
    <row r="514">
      <c r="A514" s="45"/>
    </row>
    <row r="515">
      <c r="A515" s="45"/>
    </row>
    <row r="516">
      <c r="A516" s="45"/>
    </row>
    <row r="517">
      <c r="A517" s="45"/>
    </row>
    <row r="518">
      <c r="A518" s="45"/>
    </row>
    <row r="519">
      <c r="A519" s="45"/>
    </row>
    <row r="520">
      <c r="A520" s="45"/>
    </row>
    <row r="521">
      <c r="A521" s="45"/>
    </row>
    <row r="522">
      <c r="A522" s="45"/>
    </row>
    <row r="523">
      <c r="A523" s="45"/>
    </row>
    <row r="524">
      <c r="A524" s="45"/>
    </row>
    <row r="525">
      <c r="A525" s="45"/>
    </row>
    <row r="526">
      <c r="A526" s="45"/>
    </row>
    <row r="527">
      <c r="A527" s="45"/>
    </row>
    <row r="528">
      <c r="A528" s="45"/>
    </row>
    <row r="529">
      <c r="A529" s="45"/>
    </row>
    <row r="530">
      <c r="A530" s="45"/>
    </row>
    <row r="531">
      <c r="A531" s="45"/>
    </row>
    <row r="532">
      <c r="A532" s="45"/>
    </row>
    <row r="533">
      <c r="A533" s="45"/>
    </row>
    <row r="534">
      <c r="A534" s="45"/>
    </row>
    <row r="535">
      <c r="A535" s="45"/>
    </row>
    <row r="536">
      <c r="A536" s="45"/>
    </row>
    <row r="537">
      <c r="A537" s="45"/>
    </row>
    <row r="538">
      <c r="A538" s="45"/>
    </row>
    <row r="539">
      <c r="A539" s="45"/>
    </row>
    <row r="540">
      <c r="A540" s="45"/>
    </row>
    <row r="541">
      <c r="A541" s="45"/>
    </row>
    <row r="542">
      <c r="A542" s="45"/>
    </row>
    <row r="543">
      <c r="A543" s="45"/>
    </row>
    <row r="544">
      <c r="A544" s="45"/>
    </row>
    <row r="545">
      <c r="A545" s="45"/>
    </row>
    <row r="546">
      <c r="A546" s="45"/>
    </row>
    <row r="547">
      <c r="A547" s="45"/>
    </row>
    <row r="548">
      <c r="A548" s="45"/>
    </row>
    <row r="549">
      <c r="A549" s="45"/>
    </row>
    <row r="550">
      <c r="A550" s="45"/>
    </row>
    <row r="551">
      <c r="A551" s="45"/>
    </row>
    <row r="552">
      <c r="A552" s="45"/>
    </row>
    <row r="553">
      <c r="A553" s="45"/>
    </row>
    <row r="554">
      <c r="A554" s="45"/>
    </row>
    <row r="555">
      <c r="A555" s="45"/>
    </row>
    <row r="556">
      <c r="A556" s="45"/>
    </row>
    <row r="557">
      <c r="A557" s="45"/>
    </row>
    <row r="558">
      <c r="A558" s="45"/>
    </row>
    <row r="559">
      <c r="A559" s="45"/>
    </row>
    <row r="560">
      <c r="A560" s="45"/>
    </row>
    <row r="561">
      <c r="A561" s="45"/>
    </row>
    <row r="562">
      <c r="A562" s="45"/>
    </row>
    <row r="563">
      <c r="A563" s="45"/>
    </row>
    <row r="564">
      <c r="A564" s="45"/>
    </row>
    <row r="565">
      <c r="A565" s="45"/>
    </row>
    <row r="566">
      <c r="A566" s="45"/>
    </row>
    <row r="567">
      <c r="A567" s="45"/>
    </row>
    <row r="568">
      <c r="A568" s="45"/>
    </row>
    <row r="569">
      <c r="A569" s="45"/>
    </row>
    <row r="570">
      <c r="A570" s="45"/>
    </row>
    <row r="571">
      <c r="A571" s="45"/>
    </row>
    <row r="572">
      <c r="A572" s="45"/>
    </row>
    <row r="573">
      <c r="A573" s="45"/>
    </row>
    <row r="574">
      <c r="A574" s="45"/>
    </row>
    <row r="575">
      <c r="A575" s="45"/>
    </row>
    <row r="576">
      <c r="A576" s="45"/>
    </row>
    <row r="577">
      <c r="A577" s="45"/>
    </row>
    <row r="578">
      <c r="A578" s="45"/>
    </row>
    <row r="579">
      <c r="A579" s="45"/>
    </row>
    <row r="580">
      <c r="A580" s="45"/>
    </row>
    <row r="581">
      <c r="A581" s="45"/>
    </row>
    <row r="582">
      <c r="A582" s="45"/>
    </row>
    <row r="583">
      <c r="A583" s="45"/>
    </row>
    <row r="584">
      <c r="A584" s="45"/>
    </row>
    <row r="585">
      <c r="A585" s="45"/>
    </row>
    <row r="586">
      <c r="A586" s="45"/>
    </row>
    <row r="587">
      <c r="A587" s="45"/>
    </row>
    <row r="588">
      <c r="A588" s="45"/>
    </row>
    <row r="589">
      <c r="A589" s="45"/>
    </row>
    <row r="590">
      <c r="A590" s="45"/>
    </row>
    <row r="591">
      <c r="A591" s="45"/>
    </row>
    <row r="592">
      <c r="A592" s="45"/>
    </row>
    <row r="593">
      <c r="A593" s="45"/>
    </row>
    <row r="594">
      <c r="A594" s="45"/>
    </row>
    <row r="595">
      <c r="A595" s="45"/>
    </row>
    <row r="596">
      <c r="A596" s="45"/>
    </row>
    <row r="597">
      <c r="A597" s="45"/>
    </row>
    <row r="598">
      <c r="A598" s="45"/>
    </row>
    <row r="599">
      <c r="A599" s="45"/>
    </row>
    <row r="600">
      <c r="A600" s="45"/>
    </row>
    <row r="601">
      <c r="A601" s="45"/>
    </row>
    <row r="602">
      <c r="A602" s="45"/>
    </row>
    <row r="603">
      <c r="A603" s="45"/>
    </row>
    <row r="604">
      <c r="A604" s="45"/>
    </row>
    <row r="605">
      <c r="A605" s="45"/>
    </row>
    <row r="606">
      <c r="A606" s="45"/>
    </row>
    <row r="607">
      <c r="A607" s="45"/>
    </row>
    <row r="608">
      <c r="A608" s="45"/>
    </row>
    <row r="609">
      <c r="A609" s="45"/>
    </row>
    <row r="610">
      <c r="A610" s="45"/>
    </row>
    <row r="611">
      <c r="A611" s="45"/>
    </row>
    <row r="612">
      <c r="A612" s="45"/>
    </row>
    <row r="613">
      <c r="A613" s="45"/>
    </row>
    <row r="614">
      <c r="A614" s="45"/>
    </row>
    <row r="615">
      <c r="A615" s="45"/>
    </row>
    <row r="616">
      <c r="A616" s="45"/>
    </row>
    <row r="617">
      <c r="A617" s="45"/>
    </row>
    <row r="618">
      <c r="A618" s="45"/>
    </row>
    <row r="619">
      <c r="A619" s="45"/>
    </row>
    <row r="620">
      <c r="A620" s="45"/>
    </row>
    <row r="621">
      <c r="A621" s="45"/>
    </row>
    <row r="622">
      <c r="A622" s="45"/>
    </row>
    <row r="623">
      <c r="A623" s="45"/>
    </row>
    <row r="624">
      <c r="A624" s="45"/>
    </row>
    <row r="625">
      <c r="A625" s="45"/>
    </row>
    <row r="626">
      <c r="A626" s="45"/>
    </row>
    <row r="627">
      <c r="A627" s="45"/>
    </row>
    <row r="628">
      <c r="A628" s="45"/>
    </row>
    <row r="629">
      <c r="A629" s="45"/>
    </row>
    <row r="630">
      <c r="A630" s="45"/>
    </row>
    <row r="631">
      <c r="A631" s="45"/>
    </row>
    <row r="632">
      <c r="A632" s="45"/>
    </row>
    <row r="633">
      <c r="A633" s="45"/>
    </row>
    <row r="634">
      <c r="A634" s="45"/>
    </row>
    <row r="635">
      <c r="A635" s="45"/>
    </row>
    <row r="636">
      <c r="A636" s="45"/>
    </row>
    <row r="637">
      <c r="A637" s="45"/>
    </row>
    <row r="638">
      <c r="A638" s="45"/>
    </row>
    <row r="639">
      <c r="A639" s="45"/>
    </row>
    <row r="640">
      <c r="A640" s="45"/>
    </row>
    <row r="641">
      <c r="A641" s="45"/>
    </row>
    <row r="642">
      <c r="A642" s="45"/>
    </row>
    <row r="643">
      <c r="A643" s="45"/>
    </row>
    <row r="644">
      <c r="A644" s="45"/>
    </row>
    <row r="645">
      <c r="A645" s="45"/>
    </row>
    <row r="646">
      <c r="A646" s="45"/>
    </row>
    <row r="647">
      <c r="A647" s="45"/>
    </row>
    <row r="648">
      <c r="A648" s="45"/>
    </row>
    <row r="649">
      <c r="A649" s="45"/>
    </row>
    <row r="650">
      <c r="A650" s="45"/>
    </row>
    <row r="651">
      <c r="A651" s="45"/>
    </row>
    <row r="652">
      <c r="A652" s="45"/>
    </row>
    <row r="653">
      <c r="A653" s="45"/>
    </row>
    <row r="654">
      <c r="A654" s="45"/>
    </row>
    <row r="655">
      <c r="A655" s="45"/>
    </row>
    <row r="656">
      <c r="A656" s="45"/>
    </row>
    <row r="657">
      <c r="A657" s="45"/>
    </row>
    <row r="658">
      <c r="A658" s="45"/>
    </row>
    <row r="659">
      <c r="A659" s="45"/>
    </row>
    <row r="660">
      <c r="A660" s="45"/>
    </row>
    <row r="661">
      <c r="A661" s="45"/>
    </row>
    <row r="662">
      <c r="A662" s="45"/>
    </row>
    <row r="663">
      <c r="A663" s="45"/>
    </row>
    <row r="664">
      <c r="A664" s="45"/>
    </row>
    <row r="665">
      <c r="A665" s="45"/>
    </row>
    <row r="666">
      <c r="A666" s="45"/>
    </row>
    <row r="667">
      <c r="A667" s="45"/>
    </row>
    <row r="668">
      <c r="A668" s="45"/>
    </row>
    <row r="669">
      <c r="A669" s="45"/>
    </row>
    <row r="670">
      <c r="A670" s="45"/>
    </row>
    <row r="671">
      <c r="A671" s="45"/>
    </row>
    <row r="672">
      <c r="A672" s="45"/>
    </row>
    <row r="673">
      <c r="A673" s="45"/>
    </row>
    <row r="674">
      <c r="A674" s="45"/>
    </row>
    <row r="675">
      <c r="A675" s="45"/>
    </row>
    <row r="676">
      <c r="A676" s="45"/>
    </row>
    <row r="677">
      <c r="A677" s="45"/>
    </row>
    <row r="678">
      <c r="A678" s="45"/>
    </row>
    <row r="679">
      <c r="A679" s="45"/>
    </row>
    <row r="680">
      <c r="A680" s="45"/>
    </row>
    <row r="681">
      <c r="A681" s="45"/>
    </row>
    <row r="682">
      <c r="A682" s="45"/>
    </row>
    <row r="683">
      <c r="A683" s="45"/>
    </row>
    <row r="684">
      <c r="A684" s="45"/>
    </row>
    <row r="685">
      <c r="A685" s="45"/>
    </row>
    <row r="686">
      <c r="A686" s="45"/>
    </row>
    <row r="687">
      <c r="A687" s="45"/>
    </row>
    <row r="688">
      <c r="A688" s="45"/>
    </row>
    <row r="689">
      <c r="A689" s="45"/>
    </row>
    <row r="690">
      <c r="A690" s="45"/>
    </row>
    <row r="691">
      <c r="A691" s="45"/>
    </row>
    <row r="692">
      <c r="A692" s="45"/>
    </row>
    <row r="693">
      <c r="A693" s="45"/>
    </row>
    <row r="694">
      <c r="A694" s="45"/>
    </row>
    <row r="695">
      <c r="A695" s="45"/>
    </row>
    <row r="696">
      <c r="A696" s="45"/>
    </row>
    <row r="697">
      <c r="A697" s="45"/>
    </row>
    <row r="698">
      <c r="A698" s="45"/>
    </row>
    <row r="699">
      <c r="A699" s="45"/>
    </row>
    <row r="700">
      <c r="A700" s="45"/>
    </row>
    <row r="701">
      <c r="A701" s="45"/>
    </row>
    <row r="702">
      <c r="A702" s="45"/>
    </row>
    <row r="703">
      <c r="A703" s="45"/>
    </row>
    <row r="704">
      <c r="A704" s="45"/>
    </row>
    <row r="705">
      <c r="A705" s="45"/>
    </row>
    <row r="706">
      <c r="A706" s="45"/>
    </row>
    <row r="707">
      <c r="A707" s="45"/>
    </row>
    <row r="708">
      <c r="A708" s="45"/>
    </row>
    <row r="709">
      <c r="A709" s="45"/>
    </row>
    <row r="710">
      <c r="A710" s="45"/>
    </row>
    <row r="711">
      <c r="A711" s="45"/>
    </row>
    <row r="712">
      <c r="A712" s="45"/>
    </row>
    <row r="713">
      <c r="A713" s="45"/>
    </row>
    <row r="714">
      <c r="A714" s="45"/>
    </row>
    <row r="715">
      <c r="A715" s="45"/>
    </row>
    <row r="716">
      <c r="A716" s="45"/>
    </row>
    <row r="717">
      <c r="A717" s="45"/>
    </row>
    <row r="718">
      <c r="A718" s="45"/>
    </row>
    <row r="719">
      <c r="A719" s="45"/>
    </row>
    <row r="720">
      <c r="A720" s="45"/>
    </row>
    <row r="721">
      <c r="A721" s="45"/>
    </row>
    <row r="722">
      <c r="A722" s="45"/>
    </row>
    <row r="723">
      <c r="A723" s="45"/>
    </row>
    <row r="724">
      <c r="A724" s="45"/>
    </row>
    <row r="725">
      <c r="A725" s="45"/>
    </row>
    <row r="726">
      <c r="A726" s="45"/>
    </row>
    <row r="727">
      <c r="A727" s="45"/>
    </row>
    <row r="728">
      <c r="A728" s="45"/>
    </row>
    <row r="729">
      <c r="A729" s="45"/>
    </row>
    <row r="730">
      <c r="A730" s="45"/>
    </row>
    <row r="731">
      <c r="A731" s="45"/>
    </row>
    <row r="732">
      <c r="A732" s="45"/>
    </row>
    <row r="733">
      <c r="A733" s="45"/>
    </row>
    <row r="734">
      <c r="A734" s="45"/>
    </row>
    <row r="735">
      <c r="A735" s="45"/>
    </row>
    <row r="736">
      <c r="A736" s="45"/>
    </row>
    <row r="737">
      <c r="A737" s="45"/>
    </row>
    <row r="738">
      <c r="A738" s="45"/>
    </row>
    <row r="739">
      <c r="A739" s="45"/>
    </row>
    <row r="740">
      <c r="A740" s="45"/>
    </row>
    <row r="741">
      <c r="A741" s="45"/>
    </row>
    <row r="742">
      <c r="A742" s="45"/>
    </row>
    <row r="743">
      <c r="A743" s="45"/>
    </row>
    <row r="744">
      <c r="A744" s="45"/>
    </row>
    <row r="745">
      <c r="A745" s="45"/>
    </row>
    <row r="746">
      <c r="A746" s="45"/>
    </row>
    <row r="747">
      <c r="A747" s="45"/>
    </row>
    <row r="748">
      <c r="A748" s="45"/>
    </row>
    <row r="749">
      <c r="A749" s="45"/>
    </row>
    <row r="750">
      <c r="A750" s="45"/>
    </row>
    <row r="751">
      <c r="A751" s="45"/>
    </row>
    <row r="752">
      <c r="A752" s="45"/>
    </row>
    <row r="753">
      <c r="A753" s="45"/>
    </row>
    <row r="754">
      <c r="A754" s="45"/>
    </row>
    <row r="755">
      <c r="A755" s="45"/>
    </row>
    <row r="756">
      <c r="A756" s="45"/>
    </row>
    <row r="757">
      <c r="A757" s="45"/>
    </row>
    <row r="758">
      <c r="A758" s="45"/>
    </row>
    <row r="759">
      <c r="A759" s="45"/>
    </row>
    <row r="760">
      <c r="A760" s="45"/>
    </row>
    <row r="761">
      <c r="A761" s="45"/>
    </row>
    <row r="762">
      <c r="A762" s="45"/>
    </row>
    <row r="763">
      <c r="A763" s="45"/>
    </row>
    <row r="764">
      <c r="A764" s="45"/>
    </row>
    <row r="765">
      <c r="A765" s="45"/>
    </row>
    <row r="766">
      <c r="A766" s="45"/>
    </row>
    <row r="767">
      <c r="A767" s="45"/>
    </row>
    <row r="768">
      <c r="A768" s="45"/>
    </row>
    <row r="769">
      <c r="A769" s="45"/>
    </row>
    <row r="770">
      <c r="A770" s="45"/>
    </row>
    <row r="771">
      <c r="A771" s="45"/>
    </row>
    <row r="772">
      <c r="A772" s="45"/>
    </row>
    <row r="773">
      <c r="A773" s="45"/>
    </row>
    <row r="774">
      <c r="A774" s="45"/>
    </row>
    <row r="775">
      <c r="A775" s="45"/>
    </row>
    <row r="776">
      <c r="A776" s="45"/>
    </row>
    <row r="777">
      <c r="A777" s="45"/>
    </row>
    <row r="778">
      <c r="A778" s="45"/>
    </row>
    <row r="779">
      <c r="A779" s="45"/>
    </row>
    <row r="780">
      <c r="A780" s="45"/>
    </row>
    <row r="781">
      <c r="A781" s="45"/>
    </row>
    <row r="782">
      <c r="A782" s="45"/>
    </row>
    <row r="783">
      <c r="A783" s="45"/>
    </row>
    <row r="784">
      <c r="A784" s="45"/>
    </row>
    <row r="785">
      <c r="A785" s="45"/>
    </row>
    <row r="786">
      <c r="A786" s="45"/>
    </row>
    <row r="787">
      <c r="A787" s="45"/>
    </row>
    <row r="788">
      <c r="A788" s="45"/>
    </row>
    <row r="789">
      <c r="A789" s="45"/>
    </row>
    <row r="790">
      <c r="A790" s="45"/>
    </row>
    <row r="791">
      <c r="A791" s="45"/>
    </row>
    <row r="792">
      <c r="A792" s="45"/>
    </row>
    <row r="793">
      <c r="A793" s="45"/>
    </row>
    <row r="794">
      <c r="A794" s="45"/>
    </row>
    <row r="795">
      <c r="A795" s="45"/>
    </row>
    <row r="796">
      <c r="A796" s="45"/>
    </row>
    <row r="797">
      <c r="A797" s="45"/>
    </row>
    <row r="798">
      <c r="A798" s="45"/>
    </row>
    <row r="799">
      <c r="A799" s="45"/>
    </row>
    <row r="800">
      <c r="A800" s="45"/>
    </row>
    <row r="801">
      <c r="A801" s="45"/>
    </row>
    <row r="802">
      <c r="A802" s="45"/>
    </row>
    <row r="803">
      <c r="A803" s="45"/>
    </row>
    <row r="804">
      <c r="A804" s="45"/>
    </row>
    <row r="805">
      <c r="A805" s="45"/>
    </row>
    <row r="806">
      <c r="A806" s="45"/>
    </row>
    <row r="807">
      <c r="A807" s="45"/>
    </row>
    <row r="808">
      <c r="A808" s="45"/>
    </row>
    <row r="809">
      <c r="A809" s="45"/>
    </row>
    <row r="810">
      <c r="A810" s="45"/>
    </row>
    <row r="811">
      <c r="A811" s="45"/>
    </row>
    <row r="812">
      <c r="A812" s="45"/>
    </row>
    <row r="813">
      <c r="A813" s="45"/>
    </row>
    <row r="814">
      <c r="A814" s="45"/>
    </row>
    <row r="815">
      <c r="A815" s="45"/>
    </row>
    <row r="816">
      <c r="A816" s="45"/>
    </row>
    <row r="817">
      <c r="A817" s="45"/>
    </row>
    <row r="818">
      <c r="A818" s="45"/>
    </row>
    <row r="819">
      <c r="A819" s="45"/>
    </row>
    <row r="820">
      <c r="A820" s="45"/>
    </row>
    <row r="821">
      <c r="A821" s="45"/>
    </row>
    <row r="822">
      <c r="A822" s="45"/>
    </row>
    <row r="823">
      <c r="A823" s="45"/>
    </row>
    <row r="824">
      <c r="A824" s="45"/>
    </row>
    <row r="825">
      <c r="A825" s="45"/>
    </row>
    <row r="826">
      <c r="A826" s="45"/>
    </row>
    <row r="827">
      <c r="A827" s="45"/>
    </row>
    <row r="828">
      <c r="A828" s="45"/>
    </row>
    <row r="829">
      <c r="A829" s="45"/>
    </row>
    <row r="830">
      <c r="A830" s="45"/>
    </row>
    <row r="831">
      <c r="A831" s="45"/>
    </row>
    <row r="832">
      <c r="A832" s="45"/>
    </row>
    <row r="833">
      <c r="A833" s="45"/>
    </row>
    <row r="834">
      <c r="A834" s="45"/>
    </row>
    <row r="835">
      <c r="A835" s="45"/>
    </row>
    <row r="836">
      <c r="A836" s="45"/>
    </row>
    <row r="837">
      <c r="A837" s="45"/>
    </row>
    <row r="838">
      <c r="A838" s="45"/>
    </row>
    <row r="839">
      <c r="A839" s="45"/>
    </row>
    <row r="840">
      <c r="A840" s="45"/>
    </row>
    <row r="841">
      <c r="A841" s="45"/>
    </row>
    <row r="842">
      <c r="A842" s="45"/>
    </row>
    <row r="843">
      <c r="A843" s="45"/>
    </row>
    <row r="844">
      <c r="A844" s="45"/>
    </row>
    <row r="845">
      <c r="A845" s="45"/>
    </row>
    <row r="846">
      <c r="A846" s="45"/>
    </row>
    <row r="847">
      <c r="A847" s="45"/>
    </row>
    <row r="848">
      <c r="A848" s="45"/>
    </row>
    <row r="849">
      <c r="A849" s="45"/>
    </row>
    <row r="850">
      <c r="A850" s="45"/>
    </row>
    <row r="851">
      <c r="A851" s="45"/>
    </row>
    <row r="852">
      <c r="A852" s="45"/>
    </row>
    <row r="853">
      <c r="A853" s="45"/>
    </row>
    <row r="854">
      <c r="A854" s="45"/>
    </row>
    <row r="855">
      <c r="A855" s="45"/>
    </row>
    <row r="856">
      <c r="A856" s="45"/>
    </row>
    <row r="857">
      <c r="A857" s="45"/>
    </row>
    <row r="858">
      <c r="A858" s="45"/>
    </row>
    <row r="859">
      <c r="A859" s="45"/>
    </row>
    <row r="860">
      <c r="A860" s="45"/>
    </row>
    <row r="861">
      <c r="A861" s="45"/>
    </row>
    <row r="862">
      <c r="A862" s="45"/>
    </row>
    <row r="863">
      <c r="A863" s="45"/>
    </row>
    <row r="864">
      <c r="A864" s="45"/>
    </row>
    <row r="865">
      <c r="A865" s="45"/>
    </row>
    <row r="866">
      <c r="A866" s="45"/>
    </row>
    <row r="867">
      <c r="A867" s="45"/>
    </row>
    <row r="868">
      <c r="A868" s="45"/>
    </row>
    <row r="869">
      <c r="A869" s="45"/>
    </row>
    <row r="870">
      <c r="A870" s="45"/>
    </row>
    <row r="871">
      <c r="A871" s="45"/>
    </row>
    <row r="872">
      <c r="A872" s="45"/>
    </row>
    <row r="873">
      <c r="A873" s="45"/>
    </row>
    <row r="874">
      <c r="A874" s="45"/>
    </row>
    <row r="875">
      <c r="A875" s="45"/>
    </row>
    <row r="876">
      <c r="A876" s="45"/>
    </row>
    <row r="877">
      <c r="A877" s="45"/>
    </row>
    <row r="878">
      <c r="A878" s="45"/>
    </row>
    <row r="879">
      <c r="A879" s="45"/>
    </row>
    <row r="880">
      <c r="A880" s="45"/>
    </row>
    <row r="881">
      <c r="A881" s="45"/>
    </row>
    <row r="882">
      <c r="A882" s="45"/>
    </row>
    <row r="883">
      <c r="A883" s="45"/>
    </row>
    <row r="884">
      <c r="A884" s="45"/>
    </row>
    <row r="885">
      <c r="A885" s="45"/>
    </row>
    <row r="886">
      <c r="A886" s="45"/>
    </row>
    <row r="887">
      <c r="A887" s="45"/>
    </row>
    <row r="888">
      <c r="A888" s="45"/>
    </row>
    <row r="889">
      <c r="A889" s="45"/>
    </row>
    <row r="890">
      <c r="A890" s="45"/>
    </row>
    <row r="891">
      <c r="A891" s="45"/>
    </row>
    <row r="892">
      <c r="A892" s="45"/>
    </row>
    <row r="893">
      <c r="A893" s="45"/>
    </row>
    <row r="894">
      <c r="A894" s="45"/>
    </row>
    <row r="895">
      <c r="A895" s="45"/>
    </row>
    <row r="896">
      <c r="A896" s="45"/>
    </row>
    <row r="897">
      <c r="A897" s="45"/>
    </row>
    <row r="898">
      <c r="A898" s="45"/>
    </row>
    <row r="899">
      <c r="A899" s="45"/>
    </row>
    <row r="900">
      <c r="A900" s="45"/>
    </row>
    <row r="901">
      <c r="A901" s="45"/>
    </row>
    <row r="902">
      <c r="A902" s="45"/>
    </row>
    <row r="903">
      <c r="A903" s="45"/>
    </row>
    <row r="904">
      <c r="A904" s="45"/>
    </row>
    <row r="905">
      <c r="A905" s="45"/>
    </row>
    <row r="906">
      <c r="A906" s="45"/>
    </row>
    <row r="907">
      <c r="A907" s="45"/>
    </row>
    <row r="908">
      <c r="A908" s="45"/>
    </row>
    <row r="909">
      <c r="A909" s="45"/>
    </row>
    <row r="910">
      <c r="A910" s="45"/>
    </row>
    <row r="911">
      <c r="A911" s="45"/>
    </row>
    <row r="912">
      <c r="A912" s="45"/>
    </row>
    <row r="913">
      <c r="A913" s="45"/>
    </row>
    <row r="914">
      <c r="A914" s="45"/>
    </row>
    <row r="915">
      <c r="A915" s="45"/>
    </row>
    <row r="916">
      <c r="A916" s="45"/>
    </row>
    <row r="917">
      <c r="A917" s="45"/>
    </row>
    <row r="918">
      <c r="A918" s="45"/>
    </row>
    <row r="919">
      <c r="A919" s="45"/>
    </row>
    <row r="920">
      <c r="A920" s="45"/>
    </row>
    <row r="921">
      <c r="A921" s="45"/>
    </row>
    <row r="922">
      <c r="A922" s="45"/>
    </row>
    <row r="923">
      <c r="A923" s="45"/>
    </row>
    <row r="924">
      <c r="A924" s="45"/>
    </row>
    <row r="925">
      <c r="A925" s="45"/>
    </row>
    <row r="926">
      <c r="A926" s="45"/>
    </row>
    <row r="927">
      <c r="A927" s="45"/>
    </row>
    <row r="928">
      <c r="A928" s="45"/>
    </row>
    <row r="929">
      <c r="A929" s="45"/>
    </row>
    <row r="930">
      <c r="A930" s="45"/>
    </row>
    <row r="931">
      <c r="A931" s="45"/>
    </row>
    <row r="932">
      <c r="A932" s="45"/>
    </row>
    <row r="933">
      <c r="A933" s="45"/>
    </row>
    <row r="934">
      <c r="A934" s="45"/>
    </row>
    <row r="935">
      <c r="A935" s="45"/>
    </row>
    <row r="936">
      <c r="A936" s="45"/>
    </row>
    <row r="937">
      <c r="A937" s="45"/>
    </row>
    <row r="938">
      <c r="A938" s="45"/>
    </row>
    <row r="939">
      <c r="A939" s="45"/>
    </row>
    <row r="940">
      <c r="A940" s="45"/>
    </row>
    <row r="941">
      <c r="A941" s="45"/>
    </row>
    <row r="942">
      <c r="A942" s="45"/>
    </row>
    <row r="943">
      <c r="A943" s="45"/>
    </row>
    <row r="944">
      <c r="A944" s="45"/>
    </row>
    <row r="945">
      <c r="A945" s="45"/>
    </row>
    <row r="946">
      <c r="A946" s="45"/>
    </row>
    <row r="947">
      <c r="A947" s="45"/>
    </row>
    <row r="948">
      <c r="A948" s="45"/>
    </row>
    <row r="949">
      <c r="A949" s="45"/>
    </row>
    <row r="950">
      <c r="A950" s="45"/>
    </row>
    <row r="951">
      <c r="A951" s="45"/>
    </row>
    <row r="952">
      <c r="A952" s="45"/>
    </row>
    <row r="953">
      <c r="A953" s="45"/>
    </row>
    <row r="954">
      <c r="A954" s="45"/>
    </row>
    <row r="955">
      <c r="A955" s="45"/>
    </row>
    <row r="956">
      <c r="A956" s="45"/>
    </row>
    <row r="957">
      <c r="A957" s="45"/>
    </row>
    <row r="958">
      <c r="A958" s="45"/>
    </row>
    <row r="959">
      <c r="A959" s="45"/>
    </row>
    <row r="960">
      <c r="A960" s="45"/>
    </row>
    <row r="961">
      <c r="A961" s="45"/>
    </row>
    <row r="962">
      <c r="A962" s="45"/>
    </row>
    <row r="963">
      <c r="A963" s="45"/>
    </row>
    <row r="964">
      <c r="A964" s="45"/>
    </row>
    <row r="965">
      <c r="A965" s="45"/>
    </row>
    <row r="966">
      <c r="A966" s="45"/>
    </row>
    <row r="967">
      <c r="A967" s="45"/>
    </row>
    <row r="968">
      <c r="A968" s="45"/>
    </row>
    <row r="969">
      <c r="A969" s="45"/>
    </row>
    <row r="970">
      <c r="A970" s="45"/>
    </row>
    <row r="971">
      <c r="A971" s="45"/>
    </row>
    <row r="972">
      <c r="A972" s="45"/>
    </row>
    <row r="973">
      <c r="A973" s="45"/>
    </row>
    <row r="974">
      <c r="A974" s="45"/>
    </row>
    <row r="975">
      <c r="A975" s="45"/>
    </row>
    <row r="976">
      <c r="A976" s="45"/>
    </row>
    <row r="977">
      <c r="A977" s="45"/>
    </row>
    <row r="978">
      <c r="A978" s="45"/>
    </row>
    <row r="979">
      <c r="A979" s="45"/>
    </row>
    <row r="980">
      <c r="A980" s="45"/>
    </row>
    <row r="981">
      <c r="A981" s="45"/>
    </row>
    <row r="982">
      <c r="A982" s="45"/>
    </row>
    <row r="983">
      <c r="A983" s="45"/>
    </row>
    <row r="984">
      <c r="A984" s="45"/>
    </row>
    <row r="985">
      <c r="A985" s="45"/>
    </row>
    <row r="986">
      <c r="A986" s="45"/>
    </row>
    <row r="987">
      <c r="A987" s="45"/>
    </row>
    <row r="988">
      <c r="A988" s="45"/>
    </row>
    <row r="989">
      <c r="A989" s="45"/>
    </row>
    <row r="990">
      <c r="A990" s="45"/>
    </row>
    <row r="991">
      <c r="A991" s="45"/>
    </row>
    <row r="992">
      <c r="A992" s="45"/>
    </row>
    <row r="993">
      <c r="A993" s="45"/>
    </row>
    <row r="994">
      <c r="A994" s="45"/>
    </row>
    <row r="995">
      <c r="A995" s="45"/>
    </row>
    <row r="996">
      <c r="A996" s="45"/>
    </row>
    <row r="997">
      <c r="A997" s="45"/>
    </row>
    <row r="998">
      <c r="A998" s="4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4.75"/>
  </cols>
  <sheetData>
    <row r="1">
      <c r="A1" s="15" t="s">
        <v>283</v>
      </c>
      <c r="B1" s="15" t="s">
        <v>284</v>
      </c>
      <c r="C1" s="15" t="s">
        <v>285</v>
      </c>
      <c r="D1" s="15" t="s">
        <v>286</v>
      </c>
      <c r="E1" s="15" t="s">
        <v>287</v>
      </c>
    </row>
    <row r="2">
      <c r="A2" s="20">
        <v>2.0</v>
      </c>
      <c r="B2" s="12" t="s">
        <v>130</v>
      </c>
      <c r="C2" s="4" t="s">
        <v>19</v>
      </c>
      <c r="D2" s="46">
        <v>9000.0</v>
      </c>
    </row>
    <row r="3">
      <c r="A3" s="20">
        <v>3.0</v>
      </c>
      <c r="B3" s="12" t="s">
        <v>138</v>
      </c>
      <c r="C3" s="4" t="s">
        <v>19</v>
      </c>
      <c r="D3" s="46">
        <v>9000.0</v>
      </c>
    </row>
    <row r="4">
      <c r="A4" s="20">
        <v>4.0</v>
      </c>
      <c r="B4" s="12" t="s">
        <v>141</v>
      </c>
      <c r="C4" s="4" t="s">
        <v>19</v>
      </c>
      <c r="D4" s="46">
        <v>9000.0</v>
      </c>
    </row>
    <row r="5">
      <c r="A5" s="20">
        <v>5.0</v>
      </c>
      <c r="B5" s="12" t="s">
        <v>144</v>
      </c>
      <c r="C5" s="4" t="s">
        <v>19</v>
      </c>
      <c r="D5" s="46">
        <v>9000.0</v>
      </c>
    </row>
    <row r="6">
      <c r="A6" s="20">
        <v>6.0</v>
      </c>
      <c r="B6" s="12" t="s">
        <v>146</v>
      </c>
      <c r="C6" s="4" t="s">
        <v>19</v>
      </c>
      <c r="D6" s="46">
        <v>9000.0</v>
      </c>
    </row>
    <row r="7">
      <c r="A7" s="20">
        <v>7.0</v>
      </c>
      <c r="B7" s="12" t="s">
        <v>148</v>
      </c>
      <c r="C7" s="4" t="s">
        <v>19</v>
      </c>
      <c r="D7" s="46">
        <v>9000.0</v>
      </c>
    </row>
    <row r="8">
      <c r="A8" s="20">
        <v>8.0</v>
      </c>
      <c r="B8" s="12" t="s">
        <v>149</v>
      </c>
      <c r="C8" s="4" t="s">
        <v>19</v>
      </c>
      <c r="D8" s="46">
        <v>9000.0</v>
      </c>
    </row>
    <row r="9">
      <c r="A9" s="20">
        <v>9.0</v>
      </c>
      <c r="B9" s="12" t="s">
        <v>158</v>
      </c>
      <c r="C9" s="4" t="s">
        <v>19</v>
      </c>
      <c r="D9" s="46">
        <v>9000.0</v>
      </c>
    </row>
    <row r="10">
      <c r="A10" s="20">
        <v>10.0</v>
      </c>
      <c r="B10" s="12" t="s">
        <v>162</v>
      </c>
      <c r="C10" s="4" t="s">
        <v>19</v>
      </c>
      <c r="D10" s="46">
        <v>9000.0</v>
      </c>
    </row>
    <row r="11">
      <c r="A11" s="20">
        <v>11.0</v>
      </c>
      <c r="B11" s="12" t="s">
        <v>163</v>
      </c>
      <c r="C11" s="4" t="s">
        <v>288</v>
      </c>
      <c r="D11" s="46">
        <v>14000.0</v>
      </c>
    </row>
    <row r="12">
      <c r="A12" s="20">
        <v>12.0</v>
      </c>
      <c r="B12" s="12" t="s">
        <v>166</v>
      </c>
      <c r="C12" s="4" t="s">
        <v>288</v>
      </c>
      <c r="D12" s="46">
        <v>16000.0</v>
      </c>
    </row>
    <row r="13">
      <c r="A13" s="20">
        <v>13.0</v>
      </c>
      <c r="B13" s="12" t="s">
        <v>167</v>
      </c>
      <c r="C13" s="4" t="s">
        <v>288</v>
      </c>
      <c r="D13" s="46">
        <v>19000.0</v>
      </c>
    </row>
    <row r="14">
      <c r="A14" s="20">
        <v>14.0</v>
      </c>
      <c r="B14" s="12" t="s">
        <v>168</v>
      </c>
      <c r="C14" s="4" t="s">
        <v>288</v>
      </c>
      <c r="D14" s="46">
        <v>22000.0</v>
      </c>
    </row>
    <row r="15">
      <c r="A15" s="20">
        <v>15.0</v>
      </c>
      <c r="B15" s="12" t="s">
        <v>170</v>
      </c>
      <c r="C15" s="4" t="s">
        <v>289</v>
      </c>
      <c r="D15" s="46">
        <v>13000.0</v>
      </c>
    </row>
    <row r="16">
      <c r="A16" s="20">
        <v>16.0</v>
      </c>
      <c r="B16" s="12" t="s">
        <v>172</v>
      </c>
      <c r="C16" s="4" t="s">
        <v>289</v>
      </c>
      <c r="D16" s="46">
        <v>19000.0</v>
      </c>
    </row>
    <row r="17">
      <c r="A17" s="20">
        <v>17.0</v>
      </c>
      <c r="B17" s="12" t="s">
        <v>174</v>
      </c>
      <c r="C17" s="4" t="s">
        <v>289</v>
      </c>
      <c r="D17" s="46">
        <v>18000.0</v>
      </c>
    </row>
    <row r="18">
      <c r="A18" s="20">
        <v>18.0</v>
      </c>
      <c r="B18" s="12" t="s">
        <v>176</v>
      </c>
      <c r="C18" s="4" t="s">
        <v>290</v>
      </c>
      <c r="D18" s="46">
        <v>16000.0</v>
      </c>
    </row>
    <row r="19">
      <c r="A19" s="20">
        <v>19.0</v>
      </c>
      <c r="B19" s="12" t="s">
        <v>177</v>
      </c>
      <c r="C19" s="4" t="s">
        <v>290</v>
      </c>
      <c r="D19" s="46">
        <v>19000.0</v>
      </c>
    </row>
    <row r="20">
      <c r="A20" s="20">
        <v>20.0</v>
      </c>
      <c r="B20" s="12" t="s">
        <v>179</v>
      </c>
      <c r="C20" s="4" t="s">
        <v>290</v>
      </c>
      <c r="D20" s="46">
        <v>21000.0</v>
      </c>
    </row>
    <row r="21">
      <c r="A21" s="20">
        <v>21.0</v>
      </c>
      <c r="B21" s="12" t="s">
        <v>180</v>
      </c>
      <c r="C21" s="4" t="s">
        <v>291</v>
      </c>
      <c r="D21" s="46">
        <v>5000.0</v>
      </c>
    </row>
    <row r="22">
      <c r="A22" s="20">
        <v>22.0</v>
      </c>
      <c r="B22" s="12" t="s">
        <v>181</v>
      </c>
      <c r="C22" s="4" t="s">
        <v>292</v>
      </c>
      <c r="D22" s="46">
        <v>31000.0</v>
      </c>
    </row>
    <row r="23">
      <c r="A23" s="20">
        <v>23.0</v>
      </c>
      <c r="B23" s="12" t="s">
        <v>183</v>
      </c>
      <c r="C23" s="4" t="s">
        <v>292</v>
      </c>
      <c r="D23" s="46">
        <v>40000.0</v>
      </c>
    </row>
    <row r="24">
      <c r="A24" s="20">
        <v>24.0</v>
      </c>
      <c r="B24" s="12" t="s">
        <v>64</v>
      </c>
      <c r="C24" s="4" t="s">
        <v>292</v>
      </c>
      <c r="D24" s="46">
        <v>29000.0</v>
      </c>
    </row>
    <row r="25">
      <c r="A25" s="20">
        <v>25.0</v>
      </c>
      <c r="B25" s="12" t="s">
        <v>132</v>
      </c>
      <c r="C25" s="4" t="s">
        <v>293</v>
      </c>
      <c r="D25" s="46">
        <v>10000.0</v>
      </c>
    </row>
    <row r="26">
      <c r="A26" s="20">
        <v>26.0</v>
      </c>
      <c r="B26" s="12" t="s">
        <v>186</v>
      </c>
      <c r="C26" s="4" t="s">
        <v>292</v>
      </c>
      <c r="D26" s="46">
        <v>43000.0</v>
      </c>
    </row>
    <row r="27">
      <c r="A27" s="20">
        <v>27.0</v>
      </c>
      <c r="B27" s="12" t="s">
        <v>106</v>
      </c>
      <c r="C27" s="4" t="s">
        <v>291</v>
      </c>
      <c r="D27" s="46">
        <v>7000.0</v>
      </c>
    </row>
    <row r="28">
      <c r="A28" s="20">
        <v>28.0</v>
      </c>
      <c r="B28" s="12" t="s">
        <v>44</v>
      </c>
      <c r="C28" s="4" t="s">
        <v>293</v>
      </c>
      <c r="D28" s="46">
        <v>3000.0</v>
      </c>
    </row>
    <row r="29">
      <c r="A29" s="20">
        <v>29.0</v>
      </c>
      <c r="B29" s="12" t="s">
        <v>69</v>
      </c>
      <c r="C29" s="4" t="s">
        <v>293</v>
      </c>
      <c r="D29" s="46">
        <v>4500.0</v>
      </c>
    </row>
    <row r="30">
      <c r="A30" s="20">
        <v>30.0</v>
      </c>
      <c r="B30" s="12" t="s">
        <v>192</v>
      </c>
      <c r="C30" s="4" t="s">
        <v>292</v>
      </c>
      <c r="D30" s="46">
        <v>26000.0</v>
      </c>
    </row>
    <row r="31">
      <c r="A31" s="20">
        <v>31.0</v>
      </c>
      <c r="B31" s="12" t="s">
        <v>77</v>
      </c>
      <c r="C31" s="4" t="s">
        <v>293</v>
      </c>
      <c r="D31" s="46">
        <v>4500.0</v>
      </c>
    </row>
    <row r="32">
      <c r="A32" s="20">
        <v>32.0</v>
      </c>
      <c r="B32" s="12" t="s">
        <v>79</v>
      </c>
      <c r="C32" s="4" t="s">
        <v>293</v>
      </c>
      <c r="D32" s="46">
        <v>9000.0</v>
      </c>
    </row>
    <row r="33">
      <c r="A33" s="20">
        <v>33.0</v>
      </c>
      <c r="B33" s="12" t="s">
        <v>195</v>
      </c>
      <c r="C33" s="4" t="s">
        <v>293</v>
      </c>
      <c r="D33" s="46">
        <v>4500.0</v>
      </c>
    </row>
    <row r="34">
      <c r="A34" s="20">
        <v>34.0</v>
      </c>
      <c r="B34" s="12" t="s">
        <v>88</v>
      </c>
      <c r="C34" s="4" t="s">
        <v>293</v>
      </c>
      <c r="D34" s="46">
        <v>5000.0</v>
      </c>
    </row>
    <row r="35">
      <c r="A35" s="20">
        <v>35.0</v>
      </c>
      <c r="B35" s="12" t="s">
        <v>90</v>
      </c>
      <c r="C35" s="4" t="s">
        <v>293</v>
      </c>
      <c r="D35" s="46">
        <v>12000.0</v>
      </c>
    </row>
    <row r="36">
      <c r="A36" s="20">
        <v>36.0</v>
      </c>
      <c r="B36" s="12" t="s">
        <v>92</v>
      </c>
      <c r="C36" s="4" t="s">
        <v>293</v>
      </c>
      <c r="D36" s="46">
        <v>3000.0</v>
      </c>
    </row>
    <row r="37">
      <c r="A37" s="20">
        <v>37.0</v>
      </c>
      <c r="B37" s="12" t="s">
        <v>93</v>
      </c>
      <c r="C37" s="4" t="s">
        <v>293</v>
      </c>
      <c r="D37" s="46">
        <v>4500.0</v>
      </c>
    </row>
    <row r="38">
      <c r="A38" s="20">
        <v>38.0</v>
      </c>
      <c r="B38" s="12" t="s">
        <v>94</v>
      </c>
      <c r="C38" s="4" t="s">
        <v>293</v>
      </c>
      <c r="D38" s="46">
        <v>3500.0</v>
      </c>
    </row>
    <row r="39">
      <c r="A39" s="20">
        <v>39.0</v>
      </c>
      <c r="B39" s="12" t="s">
        <v>45</v>
      </c>
      <c r="C39" s="4" t="s">
        <v>293</v>
      </c>
      <c r="D39" s="46">
        <v>3000.0</v>
      </c>
    </row>
    <row r="40">
      <c r="A40" s="20">
        <v>40.0</v>
      </c>
      <c r="B40" s="12" t="s">
        <v>199</v>
      </c>
      <c r="C40" s="4" t="s">
        <v>291</v>
      </c>
      <c r="D40" s="46">
        <v>4000.0</v>
      </c>
    </row>
    <row r="41">
      <c r="A41" s="20">
        <v>41.0</v>
      </c>
      <c r="B41" s="12" t="s">
        <v>99</v>
      </c>
      <c r="C41" s="4" t="s">
        <v>293</v>
      </c>
      <c r="D41" s="46">
        <v>9000.0</v>
      </c>
    </row>
    <row r="42">
      <c r="A42" s="20">
        <v>42.0</v>
      </c>
      <c r="B42" s="12" t="s">
        <v>200</v>
      </c>
      <c r="C42" s="4" t="s">
        <v>293</v>
      </c>
      <c r="D42" s="46">
        <v>9000.0</v>
      </c>
    </row>
    <row r="43">
      <c r="A43" s="20">
        <v>43.0</v>
      </c>
      <c r="B43" s="12" t="s">
        <v>95</v>
      </c>
      <c r="C43" s="4" t="s">
        <v>293</v>
      </c>
      <c r="D43" s="46">
        <v>8000.0</v>
      </c>
    </row>
    <row r="44">
      <c r="A44" s="20">
        <v>44.0</v>
      </c>
      <c r="B44" s="12" t="s">
        <v>96</v>
      </c>
      <c r="C44" s="4" t="s">
        <v>293</v>
      </c>
      <c r="D44" s="46">
        <v>3000.0</v>
      </c>
    </row>
    <row r="45">
      <c r="A45" s="20">
        <v>45.0</v>
      </c>
      <c r="B45" s="12" t="s">
        <v>203</v>
      </c>
      <c r="C45" s="4" t="s">
        <v>293</v>
      </c>
      <c r="D45" s="46">
        <v>9000.0</v>
      </c>
    </row>
    <row r="46">
      <c r="A46" s="20">
        <v>46.0</v>
      </c>
      <c r="B46" s="12" t="s">
        <v>97</v>
      </c>
      <c r="C46" s="4" t="s">
        <v>293</v>
      </c>
      <c r="D46" s="46">
        <v>5500.0</v>
      </c>
    </row>
    <row r="47">
      <c r="A47" s="20">
        <v>47.0</v>
      </c>
      <c r="B47" s="12" t="s">
        <v>98</v>
      </c>
      <c r="C47" s="4" t="s">
        <v>293</v>
      </c>
      <c r="D47" s="46">
        <v>3500.0</v>
      </c>
    </row>
    <row r="48">
      <c r="A48" s="20">
        <v>48.0</v>
      </c>
      <c r="B48" s="12" t="s">
        <v>209</v>
      </c>
      <c r="C48" s="4" t="s">
        <v>290</v>
      </c>
      <c r="D48" s="46">
        <v>11000.0</v>
      </c>
    </row>
    <row r="49">
      <c r="A49" s="20">
        <v>49.0</v>
      </c>
      <c r="B49" s="12" t="s">
        <v>211</v>
      </c>
      <c r="C49" s="4" t="s">
        <v>291</v>
      </c>
      <c r="D49" s="46">
        <v>3000.0</v>
      </c>
    </row>
    <row r="50">
      <c r="A50" s="20">
        <v>50.0</v>
      </c>
      <c r="B50" s="12" t="s">
        <v>212</v>
      </c>
      <c r="C50" s="4" t="s">
        <v>293</v>
      </c>
      <c r="D50" s="46">
        <v>14000.0</v>
      </c>
    </row>
    <row r="51">
      <c r="A51" s="20">
        <v>51.0</v>
      </c>
      <c r="B51" s="12" t="s">
        <v>214</v>
      </c>
      <c r="C51" s="4" t="s">
        <v>291</v>
      </c>
      <c r="D51" s="46">
        <v>5000.0</v>
      </c>
    </row>
    <row r="52">
      <c r="A52" s="20">
        <v>52.0</v>
      </c>
      <c r="B52" s="12" t="s">
        <v>217</v>
      </c>
      <c r="C52" s="4" t="s">
        <v>288</v>
      </c>
      <c r="D52" s="46">
        <v>24000.0</v>
      </c>
    </row>
    <row r="53">
      <c r="A53" s="20">
        <v>53.0</v>
      </c>
      <c r="B53" s="12" t="s">
        <v>221</v>
      </c>
      <c r="C53" s="4" t="s">
        <v>292</v>
      </c>
      <c r="D53" s="46">
        <v>33000.0</v>
      </c>
    </row>
    <row r="54">
      <c r="A54" s="20">
        <v>54.0</v>
      </c>
      <c r="B54" s="12" t="s">
        <v>224</v>
      </c>
      <c r="C54" s="4" t="s">
        <v>293</v>
      </c>
      <c r="D54" s="46">
        <v>3500.0</v>
      </c>
    </row>
    <row r="55">
      <c r="A55" s="20">
        <v>55.0</v>
      </c>
      <c r="B55" s="12" t="s">
        <v>227</v>
      </c>
      <c r="C55" s="4" t="s">
        <v>47</v>
      </c>
      <c r="D55" s="46">
        <v>38000.0</v>
      </c>
    </row>
    <row r="56">
      <c r="A56" s="20">
        <v>56.0</v>
      </c>
      <c r="B56" s="12" t="s">
        <v>84</v>
      </c>
      <c r="C56" s="4" t="s">
        <v>47</v>
      </c>
      <c r="D56" s="46">
        <v>24000.0</v>
      </c>
    </row>
    <row r="57">
      <c r="A57" s="20">
        <v>57.0</v>
      </c>
      <c r="B57" s="12" t="s">
        <v>233</v>
      </c>
      <c r="C57" s="4" t="s">
        <v>292</v>
      </c>
      <c r="D57" s="46">
        <v>28000.0</v>
      </c>
    </row>
    <row r="58">
      <c r="A58" s="20">
        <v>58.0</v>
      </c>
      <c r="B58" s="12" t="s">
        <v>104</v>
      </c>
      <c r="C58" s="4" t="s">
        <v>292</v>
      </c>
      <c r="D58" s="46">
        <v>32000.0</v>
      </c>
    </row>
    <row r="59">
      <c r="A59" s="20">
        <v>59.0</v>
      </c>
      <c r="B59" s="12" t="s">
        <v>236</v>
      </c>
      <c r="C59" s="4" t="s">
        <v>293</v>
      </c>
      <c r="D59" s="46">
        <v>12000.0</v>
      </c>
    </row>
    <row r="60">
      <c r="A60" s="20">
        <v>60.0</v>
      </c>
      <c r="B60" s="12" t="s">
        <v>237</v>
      </c>
      <c r="C60" s="4" t="s">
        <v>293</v>
      </c>
      <c r="D60" s="46">
        <v>15000.0</v>
      </c>
    </row>
    <row r="61">
      <c r="A61" s="20">
        <v>61.0</v>
      </c>
      <c r="B61" s="12" t="s">
        <v>238</v>
      </c>
      <c r="C61" s="4" t="s">
        <v>293</v>
      </c>
      <c r="D61" s="46">
        <v>12000.0</v>
      </c>
    </row>
    <row r="62">
      <c r="A62" s="20">
        <v>62.0</v>
      </c>
      <c r="B62" s="12" t="s">
        <v>240</v>
      </c>
      <c r="C62" s="4" t="s">
        <v>288</v>
      </c>
      <c r="D62" s="46">
        <v>29000.0</v>
      </c>
    </row>
    <row r="63">
      <c r="A63" s="20">
        <v>63.0</v>
      </c>
      <c r="B63" s="12" t="s">
        <v>242</v>
      </c>
      <c r="C63" s="4" t="s">
        <v>293</v>
      </c>
      <c r="D63" s="46">
        <v>7000.0</v>
      </c>
    </row>
    <row r="64">
      <c r="A64" s="20">
        <v>64.0</v>
      </c>
      <c r="B64" s="12" t="s">
        <v>245</v>
      </c>
      <c r="C64" s="4" t="s">
        <v>293</v>
      </c>
      <c r="D64" s="46">
        <v>9000.0</v>
      </c>
    </row>
    <row r="65">
      <c r="A65" s="20">
        <v>65.0</v>
      </c>
      <c r="B65" s="12" t="s">
        <v>247</v>
      </c>
      <c r="C65" s="4" t="s">
        <v>293</v>
      </c>
      <c r="D65" s="46">
        <v>12000.0</v>
      </c>
    </row>
    <row r="66">
      <c r="A66" s="20">
        <v>66.0</v>
      </c>
      <c r="B66" s="12" t="s">
        <v>249</v>
      </c>
      <c r="C66" s="4" t="s">
        <v>293</v>
      </c>
      <c r="D66" s="46">
        <v>15000.0</v>
      </c>
    </row>
    <row r="67">
      <c r="A67" s="20">
        <v>67.0</v>
      </c>
      <c r="B67" s="12" t="s">
        <v>251</v>
      </c>
      <c r="C67" s="4" t="s">
        <v>293</v>
      </c>
      <c r="D67" s="46">
        <v>3500.0</v>
      </c>
    </row>
    <row r="68">
      <c r="A68" s="20">
        <v>68.0</v>
      </c>
      <c r="B68" s="12" t="s">
        <v>253</v>
      </c>
      <c r="C68" s="4" t="s">
        <v>47</v>
      </c>
      <c r="D68" s="46">
        <v>50000.0</v>
      </c>
    </row>
    <row r="69">
      <c r="A69" s="20">
        <v>69.0</v>
      </c>
      <c r="B69" s="12" t="s">
        <v>260</v>
      </c>
      <c r="C69" s="4" t="s">
        <v>47</v>
      </c>
      <c r="D69" s="46">
        <v>65000.0</v>
      </c>
    </row>
    <row r="70">
      <c r="A70" s="20">
        <v>70.0</v>
      </c>
      <c r="B70" s="12" t="s">
        <v>262</v>
      </c>
      <c r="C70" s="4" t="s">
        <v>47</v>
      </c>
      <c r="D70" s="46">
        <v>80000.0</v>
      </c>
    </row>
    <row r="71">
      <c r="A71" s="20">
        <v>71.0</v>
      </c>
      <c r="B71" s="12" t="s">
        <v>263</v>
      </c>
      <c r="C71" s="4" t="s">
        <v>293</v>
      </c>
      <c r="D71" s="46">
        <v>9000.0</v>
      </c>
    </row>
    <row r="72">
      <c r="A72" s="20">
        <v>72.0</v>
      </c>
      <c r="B72" s="12" t="s">
        <v>265</v>
      </c>
      <c r="C72" s="4" t="s">
        <v>293</v>
      </c>
      <c r="D72" s="46">
        <v>13000.0</v>
      </c>
    </row>
    <row r="73">
      <c r="A73" s="20">
        <v>73.0</v>
      </c>
      <c r="B73" s="12" t="s">
        <v>38</v>
      </c>
      <c r="C73" s="4" t="s">
        <v>291</v>
      </c>
      <c r="D73" s="46">
        <v>5000.0</v>
      </c>
    </row>
    <row r="74">
      <c r="A74" s="20">
        <v>74.0</v>
      </c>
      <c r="B74" s="12" t="s">
        <v>243</v>
      </c>
      <c r="C74" s="4" t="s">
        <v>291</v>
      </c>
      <c r="D74" s="46">
        <v>2000.0</v>
      </c>
    </row>
    <row r="75">
      <c r="A75" s="20">
        <v>75.0</v>
      </c>
      <c r="B75" s="12" t="s">
        <v>246</v>
      </c>
      <c r="C75" s="4" t="s">
        <v>291</v>
      </c>
      <c r="D75" s="46">
        <v>5000.0</v>
      </c>
    </row>
    <row r="76">
      <c r="A76" s="20">
        <v>76.0</v>
      </c>
      <c r="B76" s="12" t="s">
        <v>248</v>
      </c>
      <c r="C76" s="4" t="s">
        <v>291</v>
      </c>
      <c r="D76" s="46">
        <v>1000.0</v>
      </c>
    </row>
    <row r="77">
      <c r="A77" s="20">
        <v>77.0</v>
      </c>
      <c r="B77" s="12" t="s">
        <v>250</v>
      </c>
      <c r="C77" s="4" t="s">
        <v>291</v>
      </c>
      <c r="D77" s="46">
        <v>1000.0</v>
      </c>
    </row>
    <row r="78">
      <c r="A78" s="20">
        <v>78.0</v>
      </c>
      <c r="B78" s="12" t="s">
        <v>278</v>
      </c>
      <c r="C78" s="4" t="s">
        <v>291</v>
      </c>
      <c r="D78" s="46">
        <v>10000.0</v>
      </c>
    </row>
    <row r="79">
      <c r="A79" s="20">
        <v>80.0</v>
      </c>
      <c r="B79" s="12" t="s">
        <v>124</v>
      </c>
      <c r="C79" s="4" t="s">
        <v>292</v>
      </c>
      <c r="D79" s="46">
        <v>31000.0</v>
      </c>
    </row>
    <row r="80">
      <c r="A80" s="20">
        <v>81.0</v>
      </c>
      <c r="B80" s="12" t="s">
        <v>279</v>
      </c>
      <c r="C80" s="4" t="s">
        <v>292</v>
      </c>
      <c r="D80" s="46">
        <v>31000.0</v>
      </c>
    </row>
    <row r="81">
      <c r="A81" s="20">
        <v>83.0</v>
      </c>
      <c r="B81" s="12" t="s">
        <v>280</v>
      </c>
      <c r="C81" s="4" t="s">
        <v>292</v>
      </c>
      <c r="D81" s="46">
        <v>36000.0</v>
      </c>
    </row>
    <row r="82">
      <c r="A82" s="20">
        <v>84.0</v>
      </c>
      <c r="B82" s="12" t="s">
        <v>281</v>
      </c>
      <c r="C82" s="4" t="s">
        <v>288</v>
      </c>
      <c r="D82" s="46">
        <v>27000.0</v>
      </c>
    </row>
    <row r="83">
      <c r="A83" s="20">
        <v>85.0</v>
      </c>
      <c r="B83" s="12" t="s">
        <v>282</v>
      </c>
      <c r="C83" s="4" t="s">
        <v>291</v>
      </c>
      <c r="D83" s="46">
        <v>6000.0</v>
      </c>
    </row>
    <row r="84">
      <c r="A84" s="20">
        <v>99.0</v>
      </c>
      <c r="B84" s="12" t="s">
        <v>252</v>
      </c>
      <c r="C84" s="4" t="s">
        <v>291</v>
      </c>
      <c r="D84" s="4">
        <v>1000.0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8" max="8" width="18.88"/>
  </cols>
  <sheetData>
    <row r="1">
      <c r="A1" s="15" t="s">
        <v>0</v>
      </c>
      <c r="B1" s="15" t="s">
        <v>152</v>
      </c>
      <c r="C1" s="15" t="s">
        <v>154</v>
      </c>
      <c r="D1" s="15" t="s">
        <v>294</v>
      </c>
      <c r="E1" s="15" t="s">
        <v>295</v>
      </c>
      <c r="F1" s="15" t="s">
        <v>296</v>
      </c>
      <c r="G1" s="15" t="s">
        <v>297</v>
      </c>
      <c r="H1" s="15" t="s">
        <v>298</v>
      </c>
      <c r="I1" s="15" t="s">
        <v>299</v>
      </c>
      <c r="J1" s="15" t="s">
        <v>300</v>
      </c>
      <c r="K1" s="1" t="s">
        <v>71</v>
      </c>
    </row>
    <row r="2">
      <c r="G2" s="28">
        <f>D2+E2-F2</f>
        <v>0</v>
      </c>
      <c r="I2" s="28">
        <f>H2-G2</f>
        <v>0</v>
      </c>
    </row>
    <row r="3">
      <c r="A3" s="3">
        <v>46207.0</v>
      </c>
      <c r="B3" s="4" t="s">
        <v>184</v>
      </c>
      <c r="C3" s="4" t="s">
        <v>18</v>
      </c>
      <c r="D3" s="6">
        <v>2705.0</v>
      </c>
      <c r="E3" s="6">
        <v>0.0</v>
      </c>
      <c r="F3" s="6">
        <v>800.0</v>
      </c>
      <c r="G3" s="6">
        <v>0.0</v>
      </c>
      <c r="H3" s="6">
        <v>1905.0</v>
      </c>
      <c r="I3" s="6">
        <v>2310.0</v>
      </c>
      <c r="J3" s="6">
        <v>405.0</v>
      </c>
      <c r="K3" s="4" t="s">
        <v>301</v>
      </c>
    </row>
    <row r="4">
      <c r="A4" s="3">
        <v>46207.0</v>
      </c>
      <c r="B4" s="4" t="s">
        <v>136</v>
      </c>
      <c r="C4" s="4" t="s">
        <v>22</v>
      </c>
      <c r="D4" s="6">
        <v>2661.0</v>
      </c>
      <c r="E4" s="6">
        <v>2500.0</v>
      </c>
      <c r="F4" s="6">
        <v>1906.0</v>
      </c>
      <c r="G4" s="6">
        <v>0.0</v>
      </c>
      <c r="H4" s="6">
        <v>3255.0</v>
      </c>
      <c r="I4" s="6">
        <v>2601.0</v>
      </c>
      <c r="J4" s="6">
        <v>-654.0</v>
      </c>
      <c r="K4" s="4" t="s">
        <v>301</v>
      </c>
    </row>
    <row r="5">
      <c r="A5" s="3">
        <v>46207.0</v>
      </c>
      <c r="B5" s="4" t="s">
        <v>139</v>
      </c>
      <c r="C5" s="4" t="s">
        <v>24</v>
      </c>
      <c r="D5" s="6">
        <v>7430.0</v>
      </c>
      <c r="E5" s="6">
        <v>15000.0</v>
      </c>
      <c r="F5" s="6">
        <v>9960.0</v>
      </c>
      <c r="G5" s="6">
        <v>0.0</v>
      </c>
      <c r="H5" s="6">
        <v>12470.0</v>
      </c>
      <c r="I5" s="6">
        <v>11800.0</v>
      </c>
      <c r="J5" s="6">
        <v>-670.0</v>
      </c>
      <c r="K5" s="4" t="s">
        <v>301</v>
      </c>
    </row>
    <row r="6">
      <c r="A6" s="3">
        <v>46207.0</v>
      </c>
      <c r="B6" s="4" t="s">
        <v>165</v>
      </c>
      <c r="C6" s="4" t="s">
        <v>28</v>
      </c>
      <c r="D6" s="6">
        <v>1780.0</v>
      </c>
      <c r="E6" s="6">
        <v>0.0</v>
      </c>
      <c r="F6" s="6">
        <v>0.0</v>
      </c>
      <c r="G6" s="6">
        <v>0.0</v>
      </c>
      <c r="H6" s="6">
        <v>1780.0</v>
      </c>
      <c r="I6" s="6">
        <v>1318.0</v>
      </c>
      <c r="J6" s="6">
        <v>-462.0</v>
      </c>
      <c r="K6" s="4" t="s">
        <v>301</v>
      </c>
    </row>
    <row r="7">
      <c r="A7" s="3">
        <v>46207.0</v>
      </c>
      <c r="B7" s="4" t="s">
        <v>164</v>
      </c>
      <c r="C7" s="4" t="s">
        <v>27</v>
      </c>
      <c r="D7" s="6">
        <v>79910.0</v>
      </c>
      <c r="E7" s="6">
        <v>2440.0</v>
      </c>
      <c r="F7" s="6">
        <v>837.0</v>
      </c>
      <c r="G7" s="6">
        <v>0.0</v>
      </c>
      <c r="H7" s="6">
        <v>81513.0</v>
      </c>
      <c r="I7" s="6">
        <v>175375.0</v>
      </c>
      <c r="J7" s="6">
        <v>93862.0</v>
      </c>
      <c r="K7" s="4" t="s">
        <v>301</v>
      </c>
    </row>
    <row r="8">
      <c r="A8" s="3">
        <v>46207.0</v>
      </c>
      <c r="B8" s="4" t="s">
        <v>156</v>
      </c>
      <c r="C8" s="4" t="s">
        <v>33</v>
      </c>
      <c r="D8" s="6">
        <v>3215.0</v>
      </c>
      <c r="E8" s="6">
        <v>0.0</v>
      </c>
      <c r="F8" s="6">
        <v>600.0</v>
      </c>
      <c r="G8" s="6">
        <v>0.0</v>
      </c>
      <c r="H8" s="6">
        <v>2615.0</v>
      </c>
      <c r="I8" s="6">
        <v>2350.0</v>
      </c>
      <c r="J8" s="6">
        <v>-265.0</v>
      </c>
      <c r="K8" s="4" t="s">
        <v>301</v>
      </c>
    </row>
    <row r="9">
      <c r="A9" s="3">
        <v>46207.0</v>
      </c>
      <c r="B9" s="4" t="s">
        <v>169</v>
      </c>
      <c r="C9" s="4" t="s">
        <v>37</v>
      </c>
      <c r="D9" s="6">
        <v>5870.0</v>
      </c>
      <c r="E9" s="6">
        <v>0.0</v>
      </c>
      <c r="F9" s="6">
        <v>252.0</v>
      </c>
      <c r="G9" s="6">
        <v>0.0</v>
      </c>
      <c r="H9" s="6">
        <v>5618.0</v>
      </c>
      <c r="I9" s="6">
        <v>5485.0</v>
      </c>
      <c r="J9" s="6">
        <v>-133.0</v>
      </c>
      <c r="K9" s="4" t="s">
        <v>301</v>
      </c>
    </row>
    <row r="10">
      <c r="A10" s="3">
        <v>46207.0</v>
      </c>
      <c r="B10" s="4" t="s">
        <v>171</v>
      </c>
      <c r="C10" s="4" t="s">
        <v>48</v>
      </c>
      <c r="D10" s="6">
        <v>0.0</v>
      </c>
      <c r="E10" s="6">
        <v>0.0</v>
      </c>
      <c r="F10" s="6">
        <v>1.0</v>
      </c>
      <c r="G10" s="6">
        <v>0.0</v>
      </c>
      <c r="H10" s="6">
        <v>-1.0</v>
      </c>
      <c r="I10" s="6">
        <v>249.0</v>
      </c>
      <c r="J10" s="6">
        <v>250.0</v>
      </c>
      <c r="K10" s="4" t="s">
        <v>301</v>
      </c>
    </row>
    <row r="11">
      <c r="A11" s="3">
        <v>46207.0</v>
      </c>
      <c r="B11" s="4" t="s">
        <v>173</v>
      </c>
      <c r="C11" s="4" t="s">
        <v>39</v>
      </c>
      <c r="D11" s="6">
        <v>8480.0</v>
      </c>
      <c r="E11" s="6">
        <v>0.0</v>
      </c>
      <c r="F11" s="6">
        <v>1724.0</v>
      </c>
      <c r="G11" s="6">
        <v>0.0</v>
      </c>
      <c r="H11" s="6">
        <v>6756.0</v>
      </c>
      <c r="I11" s="6">
        <v>5760.0</v>
      </c>
      <c r="J11" s="6">
        <v>-996.0</v>
      </c>
      <c r="K11" s="4" t="s">
        <v>301</v>
      </c>
    </row>
    <row r="12">
      <c r="A12" s="3">
        <v>46207.0</v>
      </c>
      <c r="B12" s="4" t="s">
        <v>175</v>
      </c>
      <c r="C12" s="4" t="s">
        <v>29</v>
      </c>
      <c r="D12" s="6">
        <v>1740.0</v>
      </c>
      <c r="E12" s="6">
        <v>1840.0</v>
      </c>
      <c r="F12" s="6">
        <v>744.0</v>
      </c>
      <c r="G12" s="6">
        <v>0.0</v>
      </c>
      <c r="H12" s="6">
        <v>2836.0</v>
      </c>
      <c r="I12" s="6">
        <v>3195.0</v>
      </c>
      <c r="J12" s="6">
        <v>359.0</v>
      </c>
      <c r="K12" s="4" t="s">
        <v>301</v>
      </c>
    </row>
    <row r="13">
      <c r="A13" s="3">
        <v>46207.0</v>
      </c>
      <c r="B13" s="4" t="s">
        <v>182</v>
      </c>
      <c r="C13" s="4" t="s">
        <v>43</v>
      </c>
      <c r="D13" s="6">
        <v>145.0</v>
      </c>
      <c r="E13" s="6">
        <v>0.0</v>
      </c>
      <c r="F13" s="6">
        <v>40.0</v>
      </c>
      <c r="G13" s="6">
        <v>0.0</v>
      </c>
      <c r="H13" s="6">
        <v>105.0</v>
      </c>
      <c r="I13" s="6">
        <v>0.0</v>
      </c>
      <c r="J13" s="6">
        <v>-105.0</v>
      </c>
      <c r="K13" s="4" t="s">
        <v>301</v>
      </c>
    </row>
    <row r="14">
      <c r="A14" s="3">
        <v>46207.0</v>
      </c>
      <c r="B14" s="4" t="s">
        <v>187</v>
      </c>
      <c r="C14" s="4" t="s">
        <v>32</v>
      </c>
      <c r="D14" s="6">
        <v>32.0</v>
      </c>
      <c r="E14" s="6">
        <v>60.0</v>
      </c>
      <c r="F14" s="6">
        <v>18.0</v>
      </c>
      <c r="G14" s="6">
        <v>0.0</v>
      </c>
      <c r="H14" s="6">
        <v>74.0</v>
      </c>
      <c r="I14" s="6">
        <v>66.0</v>
      </c>
      <c r="J14" s="6">
        <v>-8.0</v>
      </c>
      <c r="K14" s="4" t="s">
        <v>301</v>
      </c>
    </row>
    <row r="15">
      <c r="A15" s="3">
        <v>46207.0</v>
      </c>
      <c r="B15" s="4" t="s">
        <v>188</v>
      </c>
      <c r="C15" s="4" t="s">
        <v>46</v>
      </c>
      <c r="D15" s="6">
        <v>47.0</v>
      </c>
      <c r="E15" s="6">
        <v>0.0</v>
      </c>
      <c r="F15" s="6">
        <v>20.0</v>
      </c>
      <c r="G15" s="6">
        <v>0.0</v>
      </c>
      <c r="H15" s="6">
        <v>27.0</v>
      </c>
      <c r="I15" s="6">
        <v>20.0</v>
      </c>
      <c r="J15" s="6">
        <v>-7.0</v>
      </c>
      <c r="K15" s="4" t="s">
        <v>301</v>
      </c>
    </row>
    <row r="16">
      <c r="A16" s="3">
        <v>46207.0</v>
      </c>
      <c r="B16" s="4" t="s">
        <v>191</v>
      </c>
      <c r="C16" s="4" t="s">
        <v>50</v>
      </c>
      <c r="D16" s="6">
        <v>23.0</v>
      </c>
      <c r="E16" s="6">
        <v>0.0</v>
      </c>
      <c r="F16" s="6">
        <v>6.0</v>
      </c>
      <c r="G16" s="6">
        <v>0.0</v>
      </c>
      <c r="H16" s="6">
        <v>17.0</v>
      </c>
      <c r="I16" s="6">
        <v>10.0</v>
      </c>
      <c r="J16" s="6">
        <v>-7.0</v>
      </c>
      <c r="K16" s="4" t="s">
        <v>301</v>
      </c>
    </row>
    <row r="17">
      <c r="A17" s="3">
        <v>46207.0</v>
      </c>
      <c r="B17" s="4" t="s">
        <v>193</v>
      </c>
      <c r="C17" s="4" t="s">
        <v>36</v>
      </c>
      <c r="D17" s="6">
        <v>15.0</v>
      </c>
      <c r="E17" s="6">
        <v>12.0</v>
      </c>
      <c r="F17" s="6">
        <v>6.0</v>
      </c>
      <c r="G17" s="6">
        <v>0.0</v>
      </c>
      <c r="H17" s="6">
        <v>21.0</v>
      </c>
      <c r="I17" s="6">
        <v>19.0</v>
      </c>
      <c r="J17" s="6">
        <v>-2.0</v>
      </c>
      <c r="K17" s="4" t="s">
        <v>301</v>
      </c>
    </row>
    <row r="18">
      <c r="A18" s="3">
        <v>46207.0</v>
      </c>
      <c r="B18" s="4" t="s">
        <v>194</v>
      </c>
      <c r="C18" s="4" t="s">
        <v>38</v>
      </c>
      <c r="D18" s="6">
        <v>48.0</v>
      </c>
      <c r="E18" s="6">
        <v>36.0</v>
      </c>
      <c r="F18" s="6">
        <v>49.0</v>
      </c>
      <c r="G18" s="6">
        <v>0.0</v>
      </c>
      <c r="H18" s="6">
        <v>35.0</v>
      </c>
      <c r="I18" s="6">
        <v>49.0</v>
      </c>
      <c r="J18" s="6">
        <v>14.0</v>
      </c>
      <c r="K18" s="4" t="s">
        <v>301</v>
      </c>
    </row>
    <row r="19">
      <c r="A19" s="3">
        <v>46207.0</v>
      </c>
      <c r="B19" s="4" t="s">
        <v>196</v>
      </c>
      <c r="C19" s="4" t="s">
        <v>55</v>
      </c>
      <c r="D19" s="6">
        <v>23.0</v>
      </c>
      <c r="E19" s="6">
        <v>0.0</v>
      </c>
      <c r="F19" s="6">
        <v>1.0</v>
      </c>
      <c r="G19" s="6">
        <v>0.0</v>
      </c>
      <c r="H19" s="6">
        <v>22.0</v>
      </c>
      <c r="I19" s="6">
        <v>20.0</v>
      </c>
      <c r="J19" s="6">
        <v>-2.0</v>
      </c>
      <c r="K19" s="4" t="s">
        <v>301</v>
      </c>
    </row>
    <row r="20">
      <c r="A20" s="3">
        <v>46207.0</v>
      </c>
      <c r="B20" s="4" t="s">
        <v>198</v>
      </c>
      <c r="C20" s="4" t="s">
        <v>41</v>
      </c>
      <c r="D20" s="6">
        <v>10978.0</v>
      </c>
      <c r="E20" s="6">
        <v>10000.0</v>
      </c>
      <c r="F20" s="6">
        <v>12500.0</v>
      </c>
      <c r="G20" s="6">
        <v>0.0</v>
      </c>
      <c r="H20" s="6">
        <v>8478.0</v>
      </c>
      <c r="I20" s="6">
        <v>12587.0</v>
      </c>
      <c r="J20" s="6">
        <v>4109.0</v>
      </c>
      <c r="K20" s="4" t="s">
        <v>301</v>
      </c>
    </row>
    <row r="21">
      <c r="A21" s="3">
        <v>46207.0</v>
      </c>
      <c r="B21" s="4" t="s">
        <v>197</v>
      </c>
      <c r="C21" s="4" t="s">
        <v>59</v>
      </c>
      <c r="D21" s="6">
        <v>34.0</v>
      </c>
      <c r="E21" s="6">
        <v>0.0</v>
      </c>
      <c r="F21" s="6">
        <v>18.5</v>
      </c>
      <c r="G21" s="6">
        <v>0.0</v>
      </c>
      <c r="H21" s="6">
        <v>15.5</v>
      </c>
      <c r="I21" s="6">
        <v>24.0</v>
      </c>
      <c r="J21" s="6">
        <v>8.5</v>
      </c>
      <c r="K21" s="4" t="s">
        <v>301</v>
      </c>
    </row>
    <row r="22">
      <c r="A22" s="3">
        <v>46207.0</v>
      </c>
      <c r="B22" s="4" t="s">
        <v>201</v>
      </c>
      <c r="C22" s="4" t="s">
        <v>42</v>
      </c>
      <c r="D22" s="6">
        <v>1.0</v>
      </c>
      <c r="E22" s="6">
        <v>9.0</v>
      </c>
      <c r="F22" s="6">
        <v>3.0</v>
      </c>
      <c r="G22" s="6">
        <v>0.0</v>
      </c>
      <c r="H22" s="6">
        <v>7.0</v>
      </c>
      <c r="I22" s="6">
        <v>8.0</v>
      </c>
      <c r="J22" s="6">
        <v>1.0</v>
      </c>
      <c r="K22" s="4" t="s">
        <v>301</v>
      </c>
    </row>
    <row r="23">
      <c r="A23" s="3">
        <v>46207.0</v>
      </c>
      <c r="B23" s="4" t="s">
        <v>202</v>
      </c>
      <c r="C23" s="4" t="s">
        <v>62</v>
      </c>
      <c r="D23" s="6">
        <v>5.0</v>
      </c>
      <c r="E23" s="6">
        <v>0.0</v>
      </c>
      <c r="F23" s="6">
        <v>2.0</v>
      </c>
      <c r="G23" s="6">
        <v>0.0</v>
      </c>
      <c r="H23" s="6">
        <v>3.0</v>
      </c>
      <c r="I23" s="6">
        <v>2.0</v>
      </c>
      <c r="J23" s="6">
        <v>-1.0</v>
      </c>
      <c r="K23" s="4" t="s">
        <v>301</v>
      </c>
    </row>
    <row r="24">
      <c r="A24" s="3">
        <v>46207.0</v>
      </c>
      <c r="B24" s="4" t="s">
        <v>205</v>
      </c>
      <c r="C24" s="4" t="s">
        <v>64</v>
      </c>
      <c r="D24" s="6">
        <v>7.0</v>
      </c>
      <c r="E24" s="6">
        <v>0.0</v>
      </c>
      <c r="F24" s="6">
        <v>1.0</v>
      </c>
      <c r="G24" s="6">
        <v>0.0</v>
      </c>
      <c r="H24" s="6">
        <v>6.0</v>
      </c>
      <c r="I24" s="6">
        <v>7.0</v>
      </c>
      <c r="J24" s="6">
        <v>1.0</v>
      </c>
      <c r="K24" s="4" t="s">
        <v>301</v>
      </c>
    </row>
    <row r="25">
      <c r="A25" s="3">
        <v>46207.0</v>
      </c>
      <c r="B25" s="4" t="s">
        <v>208</v>
      </c>
      <c r="C25" s="4" t="s">
        <v>44</v>
      </c>
      <c r="D25" s="6">
        <v>74.0</v>
      </c>
      <c r="E25" s="6">
        <v>24.0</v>
      </c>
      <c r="F25" s="6">
        <v>4.0</v>
      </c>
      <c r="G25" s="6">
        <v>0.0</v>
      </c>
      <c r="H25" s="6">
        <v>94.0</v>
      </c>
      <c r="I25" s="6">
        <v>95.0</v>
      </c>
      <c r="J25" s="6">
        <v>1.0</v>
      </c>
      <c r="K25" s="4" t="s">
        <v>301</v>
      </c>
    </row>
    <row r="26">
      <c r="A26" s="3">
        <v>46207.0</v>
      </c>
      <c r="B26" s="4" t="s">
        <v>210</v>
      </c>
      <c r="C26" s="4" t="s">
        <v>69</v>
      </c>
      <c r="D26" s="6">
        <v>57.0</v>
      </c>
      <c r="E26" s="6">
        <v>0.0</v>
      </c>
      <c r="F26" s="6">
        <v>6.0</v>
      </c>
      <c r="G26" s="6">
        <v>0.0</v>
      </c>
      <c r="H26" s="6">
        <v>51.0</v>
      </c>
      <c r="I26" s="6">
        <v>53.0</v>
      </c>
      <c r="J26" s="6">
        <v>2.0</v>
      </c>
      <c r="K26" s="4" t="s">
        <v>301</v>
      </c>
    </row>
    <row r="27">
      <c r="A27" s="3">
        <v>46207.0</v>
      </c>
      <c r="B27" s="4" t="s">
        <v>216</v>
      </c>
      <c r="C27" s="4" t="s">
        <v>73</v>
      </c>
      <c r="D27" s="6">
        <v>263.0</v>
      </c>
      <c r="E27" s="6">
        <v>0.0</v>
      </c>
      <c r="F27" s="6">
        <v>23.0</v>
      </c>
      <c r="G27" s="6">
        <v>0.0</v>
      </c>
      <c r="H27" s="6">
        <v>240.0</v>
      </c>
      <c r="I27" s="6">
        <v>247.0</v>
      </c>
      <c r="J27" s="6">
        <v>7.0</v>
      </c>
      <c r="K27" s="4" t="s">
        <v>301</v>
      </c>
    </row>
    <row r="28">
      <c r="A28" s="3">
        <v>46207.0</v>
      </c>
      <c r="B28" s="4" t="s">
        <v>213</v>
      </c>
      <c r="C28" s="4" t="s">
        <v>77</v>
      </c>
      <c r="D28" s="6">
        <v>6.0</v>
      </c>
      <c r="E28" s="6">
        <v>0.0</v>
      </c>
      <c r="F28" s="6">
        <v>1.0</v>
      </c>
      <c r="G28" s="6">
        <v>0.0</v>
      </c>
      <c r="H28" s="6">
        <v>5.0</v>
      </c>
      <c r="I28" s="6">
        <v>3.0</v>
      </c>
      <c r="J28" s="6">
        <v>-2.0</v>
      </c>
      <c r="K28" s="4" t="s">
        <v>301</v>
      </c>
    </row>
    <row r="29">
      <c r="A29" s="3">
        <v>46207.0</v>
      </c>
      <c r="B29" s="4" t="s">
        <v>215</v>
      </c>
      <c r="C29" s="4" t="s">
        <v>79</v>
      </c>
      <c r="D29" s="6">
        <v>228.0</v>
      </c>
      <c r="E29" s="6">
        <v>0.0</v>
      </c>
      <c r="F29" s="6">
        <v>16.0</v>
      </c>
      <c r="G29" s="6">
        <v>0.0</v>
      </c>
      <c r="H29" s="6">
        <v>212.0</v>
      </c>
      <c r="I29" s="6">
        <v>211.0</v>
      </c>
      <c r="J29" s="6">
        <v>-1.0</v>
      </c>
      <c r="K29" s="4" t="s">
        <v>301</v>
      </c>
    </row>
    <row r="30">
      <c r="A30" s="3">
        <v>46207.0</v>
      </c>
      <c r="B30" s="4" t="s">
        <v>261</v>
      </c>
      <c r="C30" s="4" t="s">
        <v>84</v>
      </c>
      <c r="D30" s="6">
        <v>5.0</v>
      </c>
      <c r="E30" s="6">
        <v>0.0</v>
      </c>
      <c r="F30" s="6">
        <v>3.0</v>
      </c>
      <c r="G30" s="6">
        <v>0.0</v>
      </c>
      <c r="H30" s="6">
        <v>2.0</v>
      </c>
      <c r="I30" s="6">
        <v>2.0</v>
      </c>
      <c r="J30" s="6">
        <v>0.0</v>
      </c>
      <c r="K30" s="4" t="s">
        <v>301</v>
      </c>
    </row>
    <row r="31">
      <c r="A31" s="3">
        <v>46207.0</v>
      </c>
      <c r="B31" s="4" t="s">
        <v>218</v>
      </c>
      <c r="C31" s="4" t="s">
        <v>88</v>
      </c>
      <c r="D31" s="6">
        <v>69.0</v>
      </c>
      <c r="E31" s="6">
        <v>0.0</v>
      </c>
      <c r="F31" s="6">
        <v>1.0</v>
      </c>
      <c r="G31" s="6">
        <v>0.0</v>
      </c>
      <c r="H31" s="6">
        <v>68.0</v>
      </c>
      <c r="I31" s="6">
        <v>68.0</v>
      </c>
      <c r="J31" s="6">
        <v>0.0</v>
      </c>
      <c r="K31" s="4" t="s">
        <v>301</v>
      </c>
    </row>
    <row r="32">
      <c r="A32" s="3">
        <v>46207.0</v>
      </c>
      <c r="B32" s="4" t="s">
        <v>219</v>
      </c>
      <c r="C32" s="4" t="s">
        <v>90</v>
      </c>
      <c r="D32" s="6">
        <v>22.0</v>
      </c>
      <c r="E32" s="6">
        <v>0.0</v>
      </c>
      <c r="F32" s="6">
        <v>0.0</v>
      </c>
      <c r="G32" s="6">
        <v>0.0</v>
      </c>
      <c r="H32" s="6">
        <v>22.0</v>
      </c>
      <c r="I32" s="6">
        <v>21.0</v>
      </c>
      <c r="J32" s="6">
        <v>-1.0</v>
      </c>
      <c r="K32" s="4" t="s">
        <v>301</v>
      </c>
    </row>
    <row r="33">
      <c r="A33" s="3">
        <v>46207.0</v>
      </c>
      <c r="B33" s="4" t="s">
        <v>220</v>
      </c>
      <c r="C33" s="4" t="s">
        <v>92</v>
      </c>
      <c r="D33" s="6">
        <v>9.0</v>
      </c>
      <c r="E33" s="6">
        <v>0.0</v>
      </c>
      <c r="F33" s="6">
        <v>0.0</v>
      </c>
      <c r="G33" s="6">
        <v>0.0</v>
      </c>
      <c r="H33" s="6">
        <v>9.0</v>
      </c>
      <c r="I33" s="6">
        <v>9.0</v>
      </c>
      <c r="J33" s="6">
        <v>0.0</v>
      </c>
      <c r="K33" s="4" t="s">
        <v>301</v>
      </c>
    </row>
    <row r="34">
      <c r="A34" s="3">
        <v>46207.0</v>
      </c>
      <c r="B34" s="4" t="s">
        <v>222</v>
      </c>
      <c r="C34" s="4" t="s">
        <v>93</v>
      </c>
      <c r="D34" s="6">
        <v>73.0</v>
      </c>
      <c r="E34" s="6">
        <v>0.0</v>
      </c>
      <c r="F34" s="6">
        <v>5.0</v>
      </c>
      <c r="G34" s="6">
        <v>0.0</v>
      </c>
      <c r="H34" s="6">
        <v>68.0</v>
      </c>
      <c r="I34" s="6">
        <v>72.0</v>
      </c>
      <c r="J34" s="6">
        <v>4.0</v>
      </c>
      <c r="K34" s="4" t="s">
        <v>301</v>
      </c>
    </row>
    <row r="35">
      <c r="A35" s="3">
        <v>46207.0</v>
      </c>
      <c r="B35" s="4" t="s">
        <v>223</v>
      </c>
      <c r="C35" s="4" t="s">
        <v>94</v>
      </c>
      <c r="D35" s="6">
        <v>28.0</v>
      </c>
      <c r="E35" s="6">
        <v>0.0</v>
      </c>
      <c r="F35" s="6">
        <v>3.0</v>
      </c>
      <c r="G35" s="6">
        <v>0.0</v>
      </c>
      <c r="H35" s="6">
        <v>25.0</v>
      </c>
      <c r="I35" s="6">
        <v>28.0</v>
      </c>
      <c r="J35" s="6">
        <v>3.0</v>
      </c>
      <c r="K35" s="4" t="s">
        <v>301</v>
      </c>
    </row>
    <row r="36">
      <c r="A36" s="3">
        <v>46207.0</v>
      </c>
      <c r="B36" s="4" t="s">
        <v>225</v>
      </c>
      <c r="C36" s="4" t="s">
        <v>45</v>
      </c>
      <c r="D36" s="6">
        <v>18.0</v>
      </c>
      <c r="E36" s="6">
        <v>24.0</v>
      </c>
      <c r="F36" s="6">
        <v>4.0</v>
      </c>
      <c r="G36" s="6">
        <v>0.0</v>
      </c>
      <c r="H36" s="6">
        <v>38.0</v>
      </c>
      <c r="I36" s="6">
        <v>38.0</v>
      </c>
      <c r="J36" s="6">
        <v>0.0</v>
      </c>
      <c r="K36" s="4" t="s">
        <v>301</v>
      </c>
    </row>
    <row r="37">
      <c r="A37" s="3">
        <v>46207.0</v>
      </c>
      <c r="B37" s="4" t="s">
        <v>258</v>
      </c>
      <c r="C37" s="4" t="s">
        <v>47</v>
      </c>
      <c r="D37" s="6">
        <v>0.0</v>
      </c>
      <c r="E37" s="6">
        <v>36.0</v>
      </c>
      <c r="F37" s="6">
        <v>15.5</v>
      </c>
      <c r="G37" s="6">
        <v>0.0</v>
      </c>
      <c r="H37" s="6">
        <v>20.5</v>
      </c>
      <c r="I37" s="6">
        <v>31.0</v>
      </c>
      <c r="J37" s="6">
        <v>10.5</v>
      </c>
      <c r="K37" s="4" t="s">
        <v>301</v>
      </c>
    </row>
    <row r="38">
      <c r="A38" s="3">
        <v>46207.0</v>
      </c>
      <c r="B38" s="4" t="s">
        <v>266</v>
      </c>
      <c r="C38" s="4" t="s">
        <v>105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4" t="s">
        <v>301</v>
      </c>
    </row>
    <row r="39">
      <c r="A39" s="3">
        <v>46207.0</v>
      </c>
      <c r="B39" s="4" t="s">
        <v>207</v>
      </c>
      <c r="C39" s="4" t="s">
        <v>106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4" t="s">
        <v>301</v>
      </c>
    </row>
    <row r="40">
      <c r="A40" s="3">
        <v>46207.0</v>
      </c>
      <c r="B40" s="4" t="s">
        <v>230</v>
      </c>
      <c r="C40" s="4" t="s">
        <v>95</v>
      </c>
      <c r="D40" s="6">
        <v>24.0</v>
      </c>
      <c r="E40" s="6">
        <v>0.0</v>
      </c>
      <c r="F40" s="6">
        <v>0.0</v>
      </c>
      <c r="G40" s="6">
        <v>0.0</v>
      </c>
      <c r="H40" s="6">
        <v>24.0</v>
      </c>
      <c r="I40" s="6">
        <v>24.0</v>
      </c>
      <c r="J40" s="6">
        <v>0.0</v>
      </c>
      <c r="K40" s="4" t="s">
        <v>301</v>
      </c>
    </row>
    <row r="41">
      <c r="A41" s="3">
        <v>46207.0</v>
      </c>
      <c r="B41" s="4" t="s">
        <v>231</v>
      </c>
      <c r="C41" s="4" t="s">
        <v>96</v>
      </c>
      <c r="D41" s="6">
        <v>33.0</v>
      </c>
      <c r="E41" s="6">
        <v>0.0</v>
      </c>
      <c r="F41" s="6">
        <v>2.0</v>
      </c>
      <c r="G41" s="6">
        <v>0.0</v>
      </c>
      <c r="H41" s="6">
        <v>31.0</v>
      </c>
      <c r="I41" s="6">
        <v>31.0</v>
      </c>
      <c r="J41" s="6">
        <v>0.0</v>
      </c>
      <c r="K41" s="4" t="s">
        <v>301</v>
      </c>
    </row>
    <row r="42">
      <c r="A42" s="3">
        <v>46207.0</v>
      </c>
      <c r="B42" s="4" t="s">
        <v>232</v>
      </c>
      <c r="C42" s="4" t="s">
        <v>49</v>
      </c>
      <c r="D42" s="6">
        <v>2.0</v>
      </c>
      <c r="E42" s="6">
        <v>12.0</v>
      </c>
      <c r="F42" s="6">
        <v>1.0</v>
      </c>
      <c r="G42" s="6">
        <v>0.0</v>
      </c>
      <c r="H42" s="6">
        <v>13.0</v>
      </c>
      <c r="I42" s="6">
        <v>12.0</v>
      </c>
      <c r="J42" s="6">
        <v>-1.0</v>
      </c>
      <c r="K42" s="4" t="s">
        <v>301</v>
      </c>
    </row>
    <row r="43">
      <c r="A43" s="3">
        <v>46207.0</v>
      </c>
      <c r="B43" s="4" t="s">
        <v>234</v>
      </c>
      <c r="C43" s="4" t="s">
        <v>97</v>
      </c>
      <c r="D43" s="6">
        <v>20.0</v>
      </c>
      <c r="E43" s="6">
        <v>0.0</v>
      </c>
      <c r="F43" s="6">
        <v>3.0</v>
      </c>
      <c r="G43" s="6">
        <v>0.0</v>
      </c>
      <c r="H43" s="6">
        <v>17.0</v>
      </c>
      <c r="I43" s="6">
        <v>20.0</v>
      </c>
      <c r="J43" s="6">
        <v>3.0</v>
      </c>
      <c r="K43" s="4" t="s">
        <v>301</v>
      </c>
    </row>
    <row r="44">
      <c r="A44" s="3">
        <v>46207.0</v>
      </c>
      <c r="B44" s="4" t="s">
        <v>235</v>
      </c>
      <c r="C44" s="4" t="s">
        <v>98</v>
      </c>
      <c r="D44" s="6">
        <v>40.0</v>
      </c>
      <c r="E44" s="6">
        <v>0.0</v>
      </c>
      <c r="F44" s="6">
        <v>0.0</v>
      </c>
      <c r="G44" s="6">
        <v>0.0</v>
      </c>
      <c r="H44" s="6">
        <v>40.0</v>
      </c>
      <c r="I44" s="6">
        <v>37.0</v>
      </c>
      <c r="J44" s="6">
        <v>-3.0</v>
      </c>
      <c r="K44" s="4" t="s">
        <v>301</v>
      </c>
    </row>
    <row r="45">
      <c r="A45" s="3">
        <v>46207.0</v>
      </c>
      <c r="B45" s="4" t="s">
        <v>228</v>
      </c>
      <c r="C45" s="4" t="s">
        <v>99</v>
      </c>
      <c r="D45" s="6">
        <v>19.0</v>
      </c>
      <c r="E45" s="6">
        <v>0.0</v>
      </c>
      <c r="F45" s="6">
        <v>0.0</v>
      </c>
      <c r="G45" s="6">
        <v>0.0</v>
      </c>
      <c r="H45" s="6">
        <v>19.0</v>
      </c>
      <c r="I45" s="6">
        <v>14.0</v>
      </c>
      <c r="J45" s="6">
        <v>-5.0</v>
      </c>
      <c r="K45" s="4" t="s">
        <v>301</v>
      </c>
    </row>
    <row r="46">
      <c r="A46" s="3">
        <v>46207.0</v>
      </c>
      <c r="B46" s="4" t="s">
        <v>239</v>
      </c>
      <c r="C46" s="4" t="s">
        <v>204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4" t="s">
        <v>301</v>
      </c>
    </row>
    <row r="47">
      <c r="A47" s="3">
        <v>46207.0</v>
      </c>
      <c r="B47" s="4" t="s">
        <v>241</v>
      </c>
      <c r="C47" s="4" t="s">
        <v>100</v>
      </c>
      <c r="D47" s="6">
        <v>19.0</v>
      </c>
      <c r="E47" s="6">
        <v>0.0</v>
      </c>
      <c r="F47" s="6">
        <v>1.0</v>
      </c>
      <c r="G47" s="6">
        <v>0.0</v>
      </c>
      <c r="H47" s="6">
        <v>18.0</v>
      </c>
      <c r="I47" s="6">
        <v>19.0</v>
      </c>
      <c r="J47" s="6">
        <v>1.0</v>
      </c>
      <c r="K47" s="4" t="s">
        <v>301</v>
      </c>
    </row>
    <row r="48">
      <c r="A48" s="3">
        <v>46207.0</v>
      </c>
      <c r="B48" s="4" t="s">
        <v>255</v>
      </c>
      <c r="C48" s="4" t="s">
        <v>101</v>
      </c>
      <c r="D48" s="6">
        <v>1.0</v>
      </c>
      <c r="E48" s="6">
        <v>0.0</v>
      </c>
      <c r="F48" s="6">
        <v>0.0</v>
      </c>
      <c r="G48" s="6">
        <v>0.0</v>
      </c>
      <c r="H48" s="6">
        <v>1.0</v>
      </c>
      <c r="I48" s="6">
        <v>0.0</v>
      </c>
      <c r="J48" s="6">
        <v>-1.0</v>
      </c>
      <c r="K48" s="4" t="s">
        <v>301</v>
      </c>
    </row>
    <row r="49">
      <c r="A49" s="3">
        <v>46207.0</v>
      </c>
      <c r="B49" s="4" t="s">
        <v>267</v>
      </c>
      <c r="C49" s="4" t="s">
        <v>102</v>
      </c>
      <c r="D49" s="6">
        <v>165.0</v>
      </c>
      <c r="E49" s="6">
        <v>0.0</v>
      </c>
      <c r="F49" s="6">
        <v>8.0</v>
      </c>
      <c r="G49" s="6">
        <v>0.0</v>
      </c>
      <c r="H49" s="6">
        <v>157.0</v>
      </c>
      <c r="I49" s="6">
        <v>155.0</v>
      </c>
      <c r="J49" s="6">
        <v>-2.0</v>
      </c>
      <c r="K49" s="4" t="s">
        <v>301</v>
      </c>
    </row>
    <row r="50">
      <c r="A50" s="3">
        <v>46207.0</v>
      </c>
      <c r="B50" s="4" t="s">
        <v>269</v>
      </c>
      <c r="C50" s="4" t="s">
        <v>121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4" t="s">
        <v>301</v>
      </c>
    </row>
    <row r="51">
      <c r="A51" s="3">
        <v>46207.0</v>
      </c>
      <c r="B51" s="4" t="s">
        <v>270</v>
      </c>
      <c r="C51" s="4" t="s">
        <v>124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4" t="s">
        <v>301</v>
      </c>
    </row>
    <row r="52">
      <c r="A52" s="3">
        <v>46207.0</v>
      </c>
      <c r="B52" s="4" t="s">
        <v>178</v>
      </c>
      <c r="C52" s="4" t="s">
        <v>125</v>
      </c>
      <c r="D52" s="6">
        <v>0.0</v>
      </c>
      <c r="E52" s="6">
        <v>0.0</v>
      </c>
      <c r="F52" s="6">
        <v>700.0</v>
      </c>
      <c r="G52" s="6">
        <v>0.0</v>
      </c>
      <c r="H52" s="6">
        <v>-700.0</v>
      </c>
      <c r="I52" s="6">
        <v>7.0</v>
      </c>
      <c r="J52" s="6">
        <v>707.0</v>
      </c>
      <c r="K52" s="4" t="s">
        <v>301</v>
      </c>
    </row>
    <row r="53">
      <c r="A53" s="3">
        <v>46207.0</v>
      </c>
      <c r="B53" s="4" t="s">
        <v>189</v>
      </c>
      <c r="C53" s="4" t="s">
        <v>51</v>
      </c>
      <c r="D53" s="6">
        <v>4718.0</v>
      </c>
      <c r="E53" s="6">
        <v>2400.0</v>
      </c>
      <c r="F53" s="6">
        <v>1975.0</v>
      </c>
      <c r="G53" s="6">
        <v>0.0</v>
      </c>
      <c r="H53" s="6">
        <v>5143.0</v>
      </c>
      <c r="I53" s="6">
        <v>4925.0</v>
      </c>
      <c r="J53" s="6">
        <v>-218.0</v>
      </c>
      <c r="K53" s="4" t="s">
        <v>301</v>
      </c>
    </row>
    <row r="54">
      <c r="A54" s="3">
        <v>46207.0</v>
      </c>
      <c r="B54" s="4" t="s">
        <v>185</v>
      </c>
      <c r="C54" s="4" t="s">
        <v>127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4" t="s">
        <v>301</v>
      </c>
    </row>
    <row r="55">
      <c r="A55" s="3">
        <v>46207.0</v>
      </c>
      <c r="B55" s="4" t="s">
        <v>271</v>
      </c>
      <c r="C55" s="4" t="s">
        <v>128</v>
      </c>
      <c r="D55" s="6">
        <v>0.0</v>
      </c>
      <c r="E55" s="6">
        <v>0.0</v>
      </c>
      <c r="F55" s="6">
        <v>800.0</v>
      </c>
      <c r="G55" s="6">
        <v>0.0</v>
      </c>
      <c r="H55" s="6">
        <v>-800.0</v>
      </c>
      <c r="I55" s="6">
        <v>5400.0</v>
      </c>
      <c r="J55" s="6">
        <v>6200.0</v>
      </c>
      <c r="K55" s="4" t="s">
        <v>301</v>
      </c>
    </row>
    <row r="56">
      <c r="A56" s="3">
        <v>46207.0</v>
      </c>
      <c r="B56" s="4" t="s">
        <v>206</v>
      </c>
      <c r="C56" s="4" t="s">
        <v>132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4" t="s">
        <v>301</v>
      </c>
    </row>
    <row r="57">
      <c r="A57" s="3">
        <v>46207.0</v>
      </c>
      <c r="B57" s="4" t="s">
        <v>229</v>
      </c>
      <c r="C57" s="4" t="s">
        <v>103</v>
      </c>
      <c r="D57" s="6">
        <v>11.0</v>
      </c>
      <c r="E57" s="6">
        <v>0.0</v>
      </c>
      <c r="F57" s="6">
        <v>0.0</v>
      </c>
      <c r="G57" s="6">
        <v>0.0</v>
      </c>
      <c r="H57" s="6">
        <v>11.0</v>
      </c>
      <c r="I57" s="6">
        <v>11.0</v>
      </c>
      <c r="J57" s="6">
        <v>0.0</v>
      </c>
      <c r="K57" s="4" t="s">
        <v>301</v>
      </c>
    </row>
    <row r="58">
      <c r="A58" s="3">
        <v>46207.0</v>
      </c>
      <c r="B58" s="4" t="s">
        <v>264</v>
      </c>
      <c r="C58" s="4" t="s">
        <v>104</v>
      </c>
      <c r="D58" s="6">
        <v>5.0</v>
      </c>
      <c r="E58" s="6">
        <v>0.0</v>
      </c>
      <c r="F58" s="6">
        <v>0.0</v>
      </c>
      <c r="G58" s="6">
        <v>0.0</v>
      </c>
      <c r="H58" s="6">
        <v>5.0</v>
      </c>
      <c r="I58" s="6">
        <v>5.0</v>
      </c>
      <c r="J58" s="6">
        <v>0.0</v>
      </c>
      <c r="K58" s="4" t="s">
        <v>301</v>
      </c>
    </row>
    <row r="59">
      <c r="A59" s="3">
        <v>46207.0</v>
      </c>
      <c r="B59" s="4" t="s">
        <v>142</v>
      </c>
      <c r="C59" s="4" t="s">
        <v>134</v>
      </c>
      <c r="D59" s="6">
        <v>0.0</v>
      </c>
      <c r="E59" s="6">
        <v>0.0</v>
      </c>
      <c r="F59" s="6">
        <v>117.0</v>
      </c>
      <c r="G59" s="6">
        <v>0.0</v>
      </c>
      <c r="H59" s="6">
        <v>-117.0</v>
      </c>
      <c r="I59" s="6">
        <v>0.0</v>
      </c>
      <c r="J59" s="6">
        <v>117.0</v>
      </c>
      <c r="K59" s="4" t="s">
        <v>301</v>
      </c>
    </row>
    <row r="60">
      <c r="A60" s="3">
        <v>46207.0</v>
      </c>
      <c r="B60" s="4" t="s">
        <v>190</v>
      </c>
      <c r="C60" s="4" t="s">
        <v>107</v>
      </c>
      <c r="D60" s="6">
        <v>0.0</v>
      </c>
      <c r="E60" s="6">
        <v>0.0</v>
      </c>
      <c r="F60" s="6">
        <v>785.0</v>
      </c>
      <c r="G60" s="6">
        <v>0.0</v>
      </c>
      <c r="H60" s="6">
        <v>-785.0</v>
      </c>
      <c r="I60" s="6">
        <v>0.0</v>
      </c>
      <c r="J60" s="6">
        <v>785.0</v>
      </c>
      <c r="K60" s="4" t="s">
        <v>301</v>
      </c>
    </row>
    <row r="61">
      <c r="A61" s="3">
        <v>46207.0</v>
      </c>
      <c r="B61" s="4" t="s">
        <v>226</v>
      </c>
      <c r="C61" s="4" t="s">
        <v>199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4" t="s">
        <v>301</v>
      </c>
    </row>
    <row r="62">
      <c r="A62" s="3">
        <v>46207.0</v>
      </c>
      <c r="B62" s="4" t="s">
        <v>244</v>
      </c>
      <c r="C62" s="4" t="s">
        <v>214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4" t="s">
        <v>301</v>
      </c>
    </row>
    <row r="63">
      <c r="A63" s="3">
        <v>46207.0</v>
      </c>
      <c r="B63" s="4" t="s">
        <v>268</v>
      </c>
      <c r="C63" s="4" t="s">
        <v>238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4" t="s">
        <v>301</v>
      </c>
    </row>
    <row r="64">
      <c r="A64" s="3">
        <v>46207.0</v>
      </c>
      <c r="B64" s="4" t="s">
        <v>273</v>
      </c>
      <c r="C64" s="4" t="s">
        <v>243</v>
      </c>
      <c r="D64" s="6">
        <v>0.0</v>
      </c>
      <c r="E64" s="6">
        <v>0.0</v>
      </c>
      <c r="F64" s="6">
        <v>4.0</v>
      </c>
      <c r="G64" s="6">
        <v>0.0</v>
      </c>
      <c r="H64" s="6">
        <v>-4.0</v>
      </c>
      <c r="I64" s="6">
        <v>0.0</v>
      </c>
      <c r="J64" s="6">
        <v>4.0</v>
      </c>
      <c r="K64" s="4" t="s">
        <v>301</v>
      </c>
    </row>
    <row r="65">
      <c r="A65" s="3">
        <v>46207.0</v>
      </c>
      <c r="B65" s="4" t="s">
        <v>274</v>
      </c>
      <c r="C65" s="4" t="s">
        <v>246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4" t="s">
        <v>301</v>
      </c>
    </row>
    <row r="66">
      <c r="A66" s="3">
        <v>46207.0</v>
      </c>
      <c r="B66" s="4" t="s">
        <v>275</v>
      </c>
      <c r="C66" s="4" t="s">
        <v>248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4" t="s">
        <v>301</v>
      </c>
    </row>
    <row r="67">
      <c r="A67" s="3">
        <v>46207.0</v>
      </c>
      <c r="B67" s="4" t="s">
        <v>276</v>
      </c>
      <c r="C67" s="4" t="s">
        <v>250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4" t="s">
        <v>301</v>
      </c>
    </row>
    <row r="68">
      <c r="A68" s="3">
        <v>46207.0</v>
      </c>
      <c r="B68" s="4" t="s">
        <v>277</v>
      </c>
      <c r="C68" s="4" t="s">
        <v>252</v>
      </c>
      <c r="D68" s="6">
        <v>0.0</v>
      </c>
      <c r="E68" s="6">
        <v>0.0</v>
      </c>
      <c r="F68" s="6">
        <v>32.0</v>
      </c>
      <c r="G68" s="6">
        <v>0.0</v>
      </c>
      <c r="H68" s="6">
        <v>-32.0</v>
      </c>
      <c r="I68" s="6">
        <v>0.0</v>
      </c>
      <c r="J68" s="6">
        <v>32.0</v>
      </c>
      <c r="K68" s="4" t="s">
        <v>301</v>
      </c>
    </row>
  </sheetData>
  <drawing r:id="rId1"/>
</worksheet>
</file>